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6341b967da00051/Tech Ramp Up/Projects/CreditCardSpendingAnalysis/Data/"/>
    </mc:Choice>
  </mc:AlternateContent>
  <xr:revisionPtr revIDLastSave="0" documentId="8_{7F2F887D-F90F-499F-AB0A-46088D414E9C}" xr6:coauthVersionLast="47" xr6:coauthVersionMax="47" xr10:uidLastSave="{00000000-0000-0000-0000-000000000000}"/>
  <bookViews>
    <workbookView xWindow="-27225" yWindow="795" windowWidth="26550" windowHeight="14640" xr2:uid="{EC39B3C9-F2D4-4A1E-901D-72B44A5ED0F9}"/>
  </bookViews>
  <sheets>
    <sheet name="public_expenditures_enhanced_ex" sheetId="1" r:id="rId1"/>
    <sheet name="Pivot Category - Vendor" sheetId="2" r:id="rId2"/>
    <sheet name="Client Agreed Spending Changes" sheetId="3" r:id="rId3"/>
    <sheet name="Growth Scenarios" sheetId="18" r:id="rId4"/>
  </sheets>
  <definedNames>
    <definedName name="Eating_Out_Growth">'Client Agreed Spending Changes'!$F$4</definedName>
    <definedName name="Eating_Out_Per_Month_With_Growth">'Client Agreed Spending Changes'!$G$4</definedName>
    <definedName name="Entertainment_Growth">'Client Agreed Spending Changes'!$F$5</definedName>
    <definedName name="Entertainment_Per_Month_With_Growth">'Client Agreed Spending Changes'!$G$5</definedName>
    <definedName name="Gas_Growth">'Client Agreed Spending Changes'!$F$2</definedName>
    <definedName name="Gas_Per_Month_With_Growth">'Client Agreed Spending Changes'!$G$2</definedName>
    <definedName name="Growth_Rate">Table2[Growth Rate]</definedName>
    <definedName name="Shopping_Growth">'Client Agreed Spending Changes'!$F$3</definedName>
    <definedName name="Shopping_Per_Month_With_Growth">'Client Agreed Spending Changes'!$G$3</definedName>
    <definedName name="Slicer_category">#N/A</definedName>
    <definedName name="Slicer_mandatory">#N/A</definedName>
    <definedName name="Slicer_vendor">#N/A</definedName>
  </definedNames>
  <calcPr calcId="0"/>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3" l="1"/>
  <c r="J2" i="3" s="1"/>
  <c r="H3" i="3"/>
  <c r="J3" i="3" s="1"/>
  <c r="H4" i="3"/>
  <c r="J4" i="3" s="1"/>
  <c r="H5" i="3"/>
  <c r="J5" i="3" s="1"/>
  <c r="E2" i="3"/>
  <c r="D2" i="3" s="1"/>
  <c r="G2" i="3" s="1"/>
  <c r="I2" i="3" s="1"/>
  <c r="E3" i="3"/>
  <c r="D3" i="3" s="1"/>
  <c r="G3" i="3" s="1"/>
  <c r="I3" i="3" s="1"/>
  <c r="E4" i="3"/>
  <c r="D4" i="3" s="1"/>
  <c r="G4" i="3" s="1"/>
  <c r="I4" i="3" s="1"/>
  <c r="E5" i="3"/>
  <c r="D5" i="3" s="1"/>
  <c r="G5" i="3" s="1"/>
  <c r="I5" i="3" s="1"/>
  <c r="B2" i="3"/>
  <c r="C2" i="3" s="1"/>
  <c r="B3" i="3"/>
  <c r="C3" i="3" s="1"/>
  <c r="B4" i="3"/>
  <c r="C4" i="3" s="1"/>
  <c r="B5" i="3"/>
  <c r="C5" i="3" s="1"/>
</calcChain>
</file>

<file path=xl/sharedStrings.xml><?xml version="1.0" encoding="utf-8"?>
<sst xmlns="http://schemas.openxmlformats.org/spreadsheetml/2006/main" count="6801" uniqueCount="729">
  <si>
    <t>transaction_date</t>
  </si>
  <si>
    <t>description</t>
  </si>
  <si>
    <t>category</t>
  </si>
  <si>
    <t>transaction_sub_type</t>
  </si>
  <si>
    <t>amount</t>
  </si>
  <si>
    <t>vendor</t>
  </si>
  <si>
    <t>amount_abs</t>
  </si>
  <si>
    <t>year</t>
  </si>
  <si>
    <t>month</t>
  </si>
  <si>
    <t>year_month</t>
  </si>
  <si>
    <t>year_month_day</t>
  </si>
  <si>
    <t>day_of_week</t>
  </si>
  <si>
    <t>transaction_type</t>
  </si>
  <si>
    <t>mandatory</t>
  </si>
  <si>
    <t>id</t>
  </si>
  <si>
    <t>AMAZON MKTPLACE PMTS AMZN.COM/BILLWA
QO6X63MNX2M</t>
  </si>
  <si>
    <t>Shopping</t>
  </si>
  <si>
    <t>Return</t>
  </si>
  <si>
    <t>AMAZON</t>
  </si>
  <si>
    <t>2026-02</t>
  </si>
  <si>
    <t xml:space="preserve">Saturday </t>
  </si>
  <si>
    <t>Income</t>
  </si>
  <si>
    <t>AMAZON MKTPLACE PMTS AMZN.COM/BILLWA</t>
  </si>
  <si>
    <t xml:space="preserve">Thursday </t>
  </si>
  <si>
    <t>2026-01</t>
  </si>
  <si>
    <t>AMAZON MKTPLACE PMTS AMZN.COM/BILLWA
2JPY221TR6E</t>
  </si>
  <si>
    <t>AMAZON MKTPLACE PMTS AMZN.COM/BILLWA
121VXY6Y8RN</t>
  </si>
  <si>
    <t>AMAZON MKTPLACE PMTS AMZN.COM/BILLWA
3LEL696P35R</t>
  </si>
  <si>
    <t>AMAZON MKTPLACE PMTS AMZN.COM/BILLWA
1NYSKBOQCO6</t>
  </si>
  <si>
    <t>AMAZON MKTPLACE PMTS AMZN.COM/BILLWA
6L7ME2O6V4W</t>
  </si>
  <si>
    <t>2025-09</t>
  </si>
  <si>
    <t xml:space="preserve">Friday   </t>
  </si>
  <si>
    <t>AMAZON MKTPLACE PMTS AMZN.COM/BILLWA
1ZOAO1NSVL0</t>
  </si>
  <si>
    <t>2025-06</t>
  </si>
  <si>
    <t>LYFT   *RIDE SUN 10AM</t>
  </si>
  <si>
    <t>Travel</t>
  </si>
  <si>
    <t>Sale</t>
  </si>
  <si>
    <t>LYFT</t>
  </si>
  <si>
    <t xml:space="preserve">Monday   </t>
  </si>
  <si>
    <t>Expense</t>
  </si>
  <si>
    <t>AMAZON MKTPLACE PMTS AMZN.COM/BILLWA
43XZHOCU9NJ
4BHDVVW444N</t>
  </si>
  <si>
    <t xml:space="preserve">Sunday   </t>
  </si>
  <si>
    <t>AMAZON MKTPLACE PMTS AMZN.COM/BILLWA
5MGQ4LPMGCB</t>
  </si>
  <si>
    <t>AMAZON MKTPLACE PMTS AMZN.COM/BILLWA
6SJCJQP2JIX</t>
  </si>
  <si>
    <t>AMAZON MKTPLACE PMTS AMZN.COM/BILLWA
4Y94M2D2AP2</t>
  </si>
  <si>
    <t>AMAZON MKTPLACE PMTS AMZN.COM/BILLWA
2TXM79YNPM4</t>
  </si>
  <si>
    <t>AMAZON MKTPLACE PMTS AMZN.COM/BILLWA
75U6N6L2ZNG</t>
  </si>
  <si>
    <t>AMAZON PRIME*NF6020AZ3 AMZN.COM/BILLWA
485JV79ZLYV</t>
  </si>
  <si>
    <t>2026-03</t>
  </si>
  <si>
    <t>AMAZON PRIME*F49V37Y73 AMZN.COM/BILLWA
14NSTGQHEA9</t>
  </si>
  <si>
    <t xml:space="preserve">Tuesday  </t>
  </si>
  <si>
    <t>AMAZON MKTPL*9K2ZM4603 AMZN.COM/BILLWA</t>
  </si>
  <si>
    <t>AMAZON MKTPL*DO0VJ4WD3 AMZN.COM/BILLWA
FUEVESVYVFK</t>
  </si>
  <si>
    <t>AMAZON MKTPLACE PMTS AMZN.COM/BILLWA
76ARMB9DS9X</t>
  </si>
  <si>
    <t>AMAZON MKTPL*BQ2U37NM3 AMZN.COM/BILLWA
6A2VL2OUDID</t>
  </si>
  <si>
    <t>AMAZON KIDS *TC3Q94NX3 888-802-3080 WA</t>
  </si>
  <si>
    <t>AMAZON PRIME*VZ4JV6JC3 AMZN.COM/BILLWA
20ZCHIQIBML</t>
  </si>
  <si>
    <t>2025-10</t>
  </si>
  <si>
    <t>Wednesday</t>
  </si>
  <si>
    <t>AMAZON MKTPL*NU55V50G1 AMZN.COM/BILLWA
2G0VTF85NBJ</t>
  </si>
  <si>
    <t>AMAZON MKTPL*NM1EU7SB2 AMZN.COM/BILLWA
35RGO7N704N</t>
  </si>
  <si>
    <t>AMAZON.COM*NV77D6BF1 AMZN.COM/BILLWA
304CCP7SB59</t>
  </si>
  <si>
    <t>AMAZON MKTPL*EG6SV8VW3 AMZN.COM/BILLWA</t>
  </si>
  <si>
    <t>AMAZON KIDS *NQ9SW6NA1 888-802-3080 WA
2V1S19DZVPC</t>
  </si>
  <si>
    <t>AMAZON PRIME*NO98460T1 AMZN.COM/BILLWA
SEE DETAILS OF YOUR NEXT DIRECTPAY BELOW</t>
  </si>
  <si>
    <t>AMAZON KIDS *YS1FG7933 888-802-3080 WA
IREO8X09KLV</t>
  </si>
  <si>
    <t>2025-12</t>
  </si>
  <si>
    <t>AMAZON KIDS *B28K91BU1 888-802-3080 WA
6PY4KX3BVPR</t>
  </si>
  <si>
    <t>2025-11</t>
  </si>
  <si>
    <t>AMAZON KIDS *N41VY81B0 888-802-3080 WA
LJ2F1SQU5S4</t>
  </si>
  <si>
    <t>AMAZON KIDS *W93HS6QA3 888-802-3080 WA
6ARKQ6X5C8X</t>
  </si>
  <si>
    <t>2025-08</t>
  </si>
  <si>
    <t>AMAZON KIDS *1842U7UL3 888-802-3080 WA
P7TO40UI5IP</t>
  </si>
  <si>
    <t>2025-07</t>
  </si>
  <si>
    <t>AMAZON KIDS *NZ40I02E0 888-802-3080 WA
243AL812R8E</t>
  </si>
  <si>
    <t>2025-05</t>
  </si>
  <si>
    <t>AMAZON MKTPL*BE3FQ7SW0 AMZN.COM/BILLWA
2A57JXCJZST</t>
  </si>
  <si>
    <t>AMAZON MKTPL*B94L53VP0 AMZN.COM/BILLWA</t>
  </si>
  <si>
    <t>AMAZON MKTPL*B934K75S0 AMZN.COM/BILLWA
2990TTHWW4N</t>
  </si>
  <si>
    <t>AMAZON MKTPL*XY0A00ZA3 AMZN.COM/BILLWA
4YBXR5B2TD2</t>
  </si>
  <si>
    <t>AMAZON PRIME*008XT9L73 AMZN.COM/BILLWA</t>
  </si>
  <si>
    <t>AMAZON MKTPL*AV19N8GQ3 AMZN.COM/BILLWA
2QJLM9V0B0K</t>
  </si>
  <si>
    <t>AMAZON MKTPL*SA0MQ4SK3 AMZN.COM/BILLWA
4HHXHO8YCMW
4APK8975N86</t>
  </si>
  <si>
    <t>AMAZON MKTPL*591WM6JH3 AMZN.COM/BILLWA</t>
  </si>
  <si>
    <t>DOLLARTREE</t>
  </si>
  <si>
    <t>AMAZON MKTPLACE PMTS AMZN.COM/BILLWA
FGK99TICJPQ</t>
  </si>
  <si>
    <t>AMAZON MKTPLACE PMTS AMZN.COM/BILLWA
3O08T6TRTMH</t>
  </si>
  <si>
    <t>AMAZON MKTPLACE PMTS AMZN.COM/BILLWA
5432ALUZC40</t>
  </si>
  <si>
    <t>AMAZON MKTPLACE PMTS AMZN.COM/BILLWA
70J1WOX07IO</t>
  </si>
  <si>
    <t>AMAZON MKTPLACE PMTS AMZN.COM/BILLWA
SEE DETAILS OF YOUR NEXT DIRECTPAY BELOW</t>
  </si>
  <si>
    <t>AMAZON.COM AMZN.COM/BILLWA</t>
  </si>
  <si>
    <t>AMAZON.COM AMZN.COM/BILLWA
19UYPBHDDZM</t>
  </si>
  <si>
    <t>AMAZON.COM AMZN.COM/BILLWA
22AO17P94HP</t>
  </si>
  <si>
    <t>AMAZON.COM AMZN.COM/BILLWA
3V15FLY363L</t>
  </si>
  <si>
    <t>AMAZON MKTPLACE PMTS AMZN.COM/BILLWA
1TRKSSNCD6N</t>
  </si>
  <si>
    <t>AMAZON.COM AMZN.COM/BILLWA
4UD150Y3XBN</t>
  </si>
  <si>
    <t>AMAZON MKTPLACE PMTS AMZN.COM/BILLWA
6EVGOQLTLVW</t>
  </si>
  <si>
    <t>AMAZON MKTPLACE PMTS AMZN.COM/BILLWA
7AO8SZK052J</t>
  </si>
  <si>
    <t>AMAZON MKTPLACE PMTS AMZN.COM/BILLWA
272V6KTOQIB</t>
  </si>
  <si>
    <t>AMAZON MKTPLACE PMTS AMZN.COM/BILLWA
3TX1LL0WRGX</t>
  </si>
  <si>
    <t>AMAZON MKTPL*VI63X9VX3 AMZN.COM/BILLWA
40ZJMDPXG39</t>
  </si>
  <si>
    <t>AMAZON MKTPL*CC94K2OZ3 AMZN.COM/BILLWA
3PLOGD5QXX5</t>
  </si>
  <si>
    <t>AMAZON MKTPL*F27JJ3Z73 AMZN.COM/BILLWA</t>
  </si>
  <si>
    <t>AMAZON MKTPL*O01HJ8PW3 AMZN.COM/BILLWA
6RLVT86RI8B</t>
  </si>
  <si>
    <t>AMAZON.COM*NC5VK3JK3 AMZN.COM/BILLWA
4Y0PGA2P8MK</t>
  </si>
  <si>
    <t>AMAZON MKTPL*VI7VQ6XC3 AMZN.COM/BILLWA
1DSXLR41057
3AXQ9019K3P
6PB9WDNYGZ5</t>
  </si>
  <si>
    <t>AMAZON MKTPL*HS4W709G3 AMZN.COM/BILLWA
6ZWDQA35ZSM
75NB6D507KA</t>
  </si>
  <si>
    <t>AMAZON.COM*BW3RY6NT3 AMZN.COM/BILLWA
13VU1L840G9</t>
  </si>
  <si>
    <t>AMAZON MKTPL*UJ3O584K3 AMZN.COM/BILLWA
3E0MO6TM9N2</t>
  </si>
  <si>
    <t>AMAZON PRIME*1F18Q1W33 AMZN.COM/BILLWA
1WNVY8M4QYB</t>
  </si>
  <si>
    <t>AMAZON MKTPL*BI4BC41Y0 AMZN.COM/BILLWA
78P2EY9TO16</t>
  </si>
  <si>
    <t>AMAZON.COM*BI1W99PA0 AMZN.COM/BILLWA
6NPQA6PJQY2</t>
  </si>
  <si>
    <t>AMAZON.COM*BI1XI68R1 AMZN.COM/BILLWA
1DYIAINBVA9</t>
  </si>
  <si>
    <t>AMAZON MKTPL*BI36J0VT0 AMZN.COM/BILLWA
17Q9PV3KWS7</t>
  </si>
  <si>
    <t>AMAZON.COM*B20XK0NN0 AMZN.COM/BILLWA
6RNFA6XGV9B</t>
  </si>
  <si>
    <t>AMAZON PRIME*VR77R5RY3 AMZN.COM/BILLWA
4YW94EWCZIK</t>
  </si>
  <si>
    <t>AMAZON MKTPL*N40JU5FC1 AMZN.COM/BILLWA
6AQFHFILCC3</t>
  </si>
  <si>
    <t>AMAZON.COM*NU8IY1NW2 AMZN.COM/BILLWA
5Q0O5YRF9I9</t>
  </si>
  <si>
    <t>AMAZON MKTPL*NU10Y7I61 AMZN.COM/BILLWA
8FQY66B92QY</t>
  </si>
  <si>
    <t>AMAZON MKTPL*NU7WE0QU1 AMZN.COM/BILLWA
1YSK1TIBV2S</t>
  </si>
  <si>
    <t>AMAZON MKTPL*NU1XD5LK2 AMZN.COM/BILLWA
3AGLM8TA4N0</t>
  </si>
  <si>
    <t>AMAZON PRIME*5R83E3433 AMZN.COM/BILLWA</t>
  </si>
  <si>
    <t>CRYSTAL LAKE PARK DISTRI</t>
  </si>
  <si>
    <t>Child Care</t>
  </si>
  <si>
    <t>CRYSTAL LAKE PARK DISTRICT</t>
  </si>
  <si>
    <t>AMAZON MKTPL*NY8A019A0 AMZN.COM/BILLWA</t>
  </si>
  <si>
    <t>AMAZON.COM*HO6RA7Z83 AMZN.COM/BILLWA</t>
  </si>
  <si>
    <t>AMAZON MKTPL*AY0G56ZM3 AMZN.COM/BILLWA</t>
  </si>
  <si>
    <t>AMAZON MKTPL*XQ6171X23 AMZN.COM/BILLWA
35LC74C05CM
TYJ6LDX89ZU</t>
  </si>
  <si>
    <t>AMAZON PRIME*199327SP3 AMZN.COM/BILLWA
1U1Y9D2SK8K</t>
  </si>
  <si>
    <t>AMAZON MKTPL*NP7FJ7R23 AMZN.COM/BILLWA</t>
  </si>
  <si>
    <t>AMAZON MKTPL*Z73EC8HD3 AMZN.COM/BILLWA
3RAI0ET9HRX</t>
  </si>
  <si>
    <t>AMAZON MKTPL*BR9GK7383 AMZN.COM/BILLWA
6NE15WORXNQ</t>
  </si>
  <si>
    <t>AMAZON MKTPL*NE85R1DT0 AMZN.COM/BILLWA
SEE DETAILS OF YOUR NEXT DIRECTPAY BELOW</t>
  </si>
  <si>
    <t>AMAZON PRIME*AE9J20MH3 AMZN.COM/BILLWA
2BFJZIXSNRE</t>
  </si>
  <si>
    <t>AMAZON MKTPL*NL1E62VK0 AMZN.COM/BILLWA
2LNOBKG3TVY</t>
  </si>
  <si>
    <t>DUNKIN #355515</t>
  </si>
  <si>
    <t>Eating Out</t>
  </si>
  <si>
    <t>DUNKIN DONUTS</t>
  </si>
  <si>
    <t>ANNUAL HOTEL CREDIT</t>
  </si>
  <si>
    <t>ANNUAL HOTEL</t>
  </si>
  <si>
    <t>AMAZON MKTPLACE PMTS AMZN.COM/BILLWA
68PK988VD7Z</t>
  </si>
  <si>
    <t>AMAZON MKTPLACE PMTS AMZN.COM/BILLWA
3Y0KC4FTCXV</t>
  </si>
  <si>
    <t>AMAZON MKTPL*N603D2RH2 AMZN.COM/BILLWA
JD0BKNIPDI3</t>
  </si>
  <si>
    <t>AMAZON MKTPL*NZ8960PM1 AMZN.COM/BILLWA
6CTTRN5LFYP</t>
  </si>
  <si>
    <t>AMAZON MKTPL*NZ4F75JP0 AMZN.COM/BILLWA
6BP4XHDEGJ3</t>
  </si>
  <si>
    <t>AMAZON MKTPL*NN16I14C2 AMZN.COM/BILLWA
6JX3RH3SWK3</t>
  </si>
  <si>
    <t>AMAZON MKTPL*NN7092CL2 AMZN.COM/BILLWA
6H1CS8KJ4CM</t>
  </si>
  <si>
    <t>AMAZON PRIME*NZ3FA1OW1 AMZN.COM/BILLWA
20KLJ6PSJZ7</t>
  </si>
  <si>
    <t>AMAZON MKTPLACE PMTS AMZN.COM/BILLWA
78HQ3HKJ9WU</t>
  </si>
  <si>
    <t>AMAZON MKTPLACE PMTS AMZN.COM/BILLWA
1QIDAC155EY</t>
  </si>
  <si>
    <t>ARANTZA DUTY FREE SHOP</t>
  </si>
  <si>
    <t>ARANTZA DUTY</t>
  </si>
  <si>
    <t>CHRISTMAS BY THE SEA</t>
  </si>
  <si>
    <t>CHRISTMAS BY</t>
  </si>
  <si>
    <t>WAL-MART #1413</t>
  </si>
  <si>
    <t>WAL-MART</t>
  </si>
  <si>
    <t>2112 GREAT CLIPS AT COUNT</t>
  </si>
  <si>
    <t>Health &amp; Wellness</t>
  </si>
  <si>
    <t>GREAT CLIPS</t>
  </si>
  <si>
    <t>SCHLPAY*CRYSTALLAKECCSD47</t>
  </si>
  <si>
    <t>Scholastic  Inc.</t>
  </si>
  <si>
    <t>Scholastic Inc.</t>
  </si>
  <si>
    <t>COLOR PORTRAITS INC</t>
  </si>
  <si>
    <t>COLOR PORTRAITS</t>
  </si>
  <si>
    <t>PAYPAL *LITTLEWAYLE</t>
  </si>
  <si>
    <t>LITTLEWAYLE</t>
  </si>
  <si>
    <t>LOVE'S #0629 INSIDE</t>
  </si>
  <si>
    <t>Gas</t>
  </si>
  <si>
    <t>LOVE'S</t>
  </si>
  <si>
    <t>DR MATTS OFFICE</t>
  </si>
  <si>
    <t>DR MATTS</t>
  </si>
  <si>
    <t>FRIENDSHIP HOUSE</t>
  </si>
  <si>
    <t>ASSOCIATES IN PSYCHIATRY</t>
  </si>
  <si>
    <t>ASSOCIATES IN PSYCHOLOGY</t>
  </si>
  <si>
    <t>CASEYS #3775</t>
  </si>
  <si>
    <t>CASEYS</t>
  </si>
  <si>
    <t>FSP*ALL SAFE SELF STORAG LAKE IN THE HIL</t>
  </si>
  <si>
    <t>Storage</t>
  </si>
  <si>
    <t>ALL SAFE</t>
  </si>
  <si>
    <t>CULVERS WOODSTOCK</t>
  </si>
  <si>
    <t>CULVERS</t>
  </si>
  <si>
    <t>FSP*ALL SAFE SELF STORAG LAKE IN THE HIL
59771837142271388</t>
  </si>
  <si>
    <t>DERMATOLOGY SPECIALIST DERMSPECIALISIL
88V3RAIHS4S</t>
  </si>
  <si>
    <t>DERM SPECIALISTS</t>
  </si>
  <si>
    <t>SignUp *SaveTheManatee5k</t>
  </si>
  <si>
    <t>Gifts &amp; Donations</t>
  </si>
  <si>
    <t>Save the Manatee 5k</t>
  </si>
  <si>
    <t>MCDONALD'S F11558</t>
  </si>
  <si>
    <t>MCDONALD's</t>
  </si>
  <si>
    <t>CHIPOTLE 3609</t>
  </si>
  <si>
    <t>CHIPOTLE</t>
  </si>
  <si>
    <t>DD/BR #340391 Q35</t>
  </si>
  <si>
    <t>WM SUPERCENTER #5060</t>
  </si>
  <si>
    <t>WAL-MART #3434</t>
  </si>
  <si>
    <t>WAL-MART #0032</t>
  </si>
  <si>
    <t>WM SUPERCENTER #4286</t>
  </si>
  <si>
    <t>WM SUPERCENTER #3434</t>
  </si>
  <si>
    <t>WAL-MART #4286</t>
  </si>
  <si>
    <t>WALMART STORE 01413 CRYSTAL LAKE IL</t>
  </si>
  <si>
    <t>WM SUPERCENTER #1079</t>
  </si>
  <si>
    <t>WAL-MART #4641</t>
  </si>
  <si>
    <t>WW INT'L-DIGITAL 800-221-2112 NY</t>
  </si>
  <si>
    <t>WW INT'L-DIGITAL</t>
  </si>
  <si>
    <t>WW INT'L-DIGITAL 800-221-2112 NY
47933748</t>
  </si>
  <si>
    <t>WAL-MART #5060</t>
  </si>
  <si>
    <t>DOLLAR TREE CRYSTAL LAKE IL</t>
  </si>
  <si>
    <t>DOLLAR TREE</t>
  </si>
  <si>
    <t>WALMART STORE 03597 BELVIDERE IL
SEE DETAILS OF YOUR NEXT DIRECTPAY BELOW
2TJXE6QL47G</t>
  </si>
  <si>
    <t>WAL-MART CHECK PRINTNG</t>
  </si>
  <si>
    <t>WM SUPERCENTER #1413</t>
  </si>
  <si>
    <t>TST*WINTRUST FIELD</t>
  </si>
  <si>
    <t>WINTRUST FIELD</t>
  </si>
  <si>
    <t>TST* ANTIOCH PIZZA - WOOD</t>
  </si>
  <si>
    <t>ANTIOCH PIZZA - WOOD</t>
  </si>
  <si>
    <t>WAL-MART #3434     SE2</t>
  </si>
  <si>
    <t>CULVERS OF INVERNESS</t>
  </si>
  <si>
    <t>TST*IMPROV COMEDY CLUB -</t>
  </si>
  <si>
    <t>Entertainment</t>
  </si>
  <si>
    <t>IMPROV COMEDY</t>
  </si>
  <si>
    <t>WENDYS #  13352</t>
  </si>
  <si>
    <t>WENDY'S</t>
  </si>
  <si>
    <t>SXM*SIRIUSXM.COM/ACCT</t>
  </si>
  <si>
    <t>SIRIUSXM</t>
  </si>
  <si>
    <t>CULVERS OF CRYSTAL LAKE</t>
  </si>
  <si>
    <t>CLASSIC CINEMAS WOODSTOCK</t>
  </si>
  <si>
    <t>CLASSIC CINEMAS</t>
  </si>
  <si>
    <t>CHICK-FIL-A #02927 CRYSTAL LAKE IL</t>
  </si>
  <si>
    <t>CHICK-FIL-A</t>
  </si>
  <si>
    <t>WALMART STORE 03434 WOODSTOCK IL</t>
  </si>
  <si>
    <t>WALMART.COM 800-925-6278 AR</t>
  </si>
  <si>
    <t>KOHL'S #0320 CRYSTAL LAKE IL
5CZUSQKEUD7
82641258
6TWBZZ9ILAE</t>
  </si>
  <si>
    <t>KOHL'S</t>
  </si>
  <si>
    <t>DD/BR #340391 Q35 WOODSTOCK IL</t>
  </si>
  <si>
    <t>DOMINO'S 2990 ALGONQUIN IL</t>
  </si>
  <si>
    <t>DOMINO's</t>
  </si>
  <si>
    <t>JIMMY JOHNS - 0585 - ECO WOODSTOCK IL</t>
  </si>
  <si>
    <t>JIMMY JOHNS</t>
  </si>
  <si>
    <t>SQ *ENVIRONMENTAL DEFENDE</t>
  </si>
  <si>
    <t>ENVIRONMENTAL DEFENDE</t>
  </si>
  <si>
    <t>SQ *SALTY SIREN TOURS  LL</t>
  </si>
  <si>
    <t>SALTY SIREN TOURS  LL</t>
  </si>
  <si>
    <t>ALLIANZ EVENT INS 800-424-3396 VA</t>
  </si>
  <si>
    <t>ALLIANZ EVENT</t>
  </si>
  <si>
    <t>SQ *MUDHOUSE COFFEE</t>
  </si>
  <si>
    <t>MUDHOUSE COFFEE</t>
  </si>
  <si>
    <t>SQ *XTREMEWHEELSFUNCENTER</t>
  </si>
  <si>
    <t>XTREMEWHEELSFUNCENTER</t>
  </si>
  <si>
    <t>SQ *THE CRAB SHACK</t>
  </si>
  <si>
    <t>THE CRAB SHACK</t>
  </si>
  <si>
    <t>SQ *SKINNER?S AMUSEMENTS</t>
  </si>
  <si>
    <t>SKINNER?S AMUSEMENTS</t>
  </si>
  <si>
    <t>SQ *PSC @ CHICAGO DOGS -</t>
  </si>
  <si>
    <t>PSC @ CHICAGO DOGS -</t>
  </si>
  <si>
    <t>bathandbodyworks.com</t>
  </si>
  <si>
    <t>HP *INSTANT INK</t>
  </si>
  <si>
    <t>HP</t>
  </si>
  <si>
    <t>PLAYITAGAINSP #11008</t>
  </si>
  <si>
    <t>PLAYITAGAINSP</t>
  </si>
  <si>
    <t>TST*THE VILLAGE SQUIRE-</t>
  </si>
  <si>
    <t>THE VILLAGE SQUIRE</t>
  </si>
  <si>
    <t>TST*TACO DALE CANTINA</t>
  </si>
  <si>
    <t>TACO DALE CANTINA</t>
  </si>
  <si>
    <t>FARM &amp;amp; FLT OF WOODSTOCK</t>
  </si>
  <si>
    <t>FARM</t>
  </si>
  <si>
    <t>OLDNAVY.COM</t>
  </si>
  <si>
    <t>SCHOLASTIC BOOK FAIRS R4</t>
  </si>
  <si>
    <t>SCHOLASTIC BOOK</t>
  </si>
  <si>
    <t>YCC STORE 00378</t>
  </si>
  <si>
    <t>YCC STORE</t>
  </si>
  <si>
    <t>ROGANS SHOES #5</t>
  </si>
  <si>
    <t>ROGANS SHOES</t>
  </si>
  <si>
    <t>LANE BRYANT 4192</t>
  </si>
  <si>
    <t>LANE BRYANT</t>
  </si>
  <si>
    <t>OUR FAMILY WIZARD</t>
  </si>
  <si>
    <t>OUR FAMILY</t>
  </si>
  <si>
    <t>JOSTENS INC.</t>
  </si>
  <si>
    <t>FIVE BELOW 703</t>
  </si>
  <si>
    <t>FIVE BELOW</t>
  </si>
  <si>
    <t>COLOR ME MINE - CRYSTAL L</t>
  </si>
  <si>
    <t>COLOR ME</t>
  </si>
  <si>
    <t>ALDI 40084 WOODSTOCK</t>
  </si>
  <si>
    <t>Groceries</t>
  </si>
  <si>
    <t>ALDI</t>
  </si>
  <si>
    <t>KOHL'S #1467</t>
  </si>
  <si>
    <t>CASEYS #3835</t>
  </si>
  <si>
    <t>SAMSCLUB #6339</t>
  </si>
  <si>
    <t>SAMSCLUB</t>
  </si>
  <si>
    <t>REBECCA LEIFELD MA  LCPC</t>
  </si>
  <si>
    <t>REBECCA LEIFELD</t>
  </si>
  <si>
    <t>SP PULSE OF POTENTIAL</t>
  </si>
  <si>
    <t>SP PULSE</t>
  </si>
  <si>
    <t>PANERA BREAD #204024 P</t>
  </si>
  <si>
    <t>PANERA BREAD</t>
  </si>
  <si>
    <t>WENDY'S #0507</t>
  </si>
  <si>
    <t>PANERA BREAD #202795 P</t>
  </si>
  <si>
    <t>TORRID #5229</t>
  </si>
  <si>
    <t>TORRID</t>
  </si>
  <si>
    <t>WWW.TORRID.COM</t>
  </si>
  <si>
    <t>TORRID #5781</t>
  </si>
  <si>
    <t>MENARDS WOODSTOCK IL</t>
  </si>
  <si>
    <t>MENARDS</t>
  </si>
  <si>
    <t>JEWEL OSCO 3503</t>
  </si>
  <si>
    <t>JEWEL OSCO</t>
  </si>
  <si>
    <t>LIONS DEN 27</t>
  </si>
  <si>
    <t>LIONS DEN</t>
  </si>
  <si>
    <t>CASEYS #3539</t>
  </si>
  <si>
    <t>FSP*ALL SAFE SELF STORAG LAKE IN THE HIL
ESM0PEZDWO7WSOQXN1EDY7</t>
  </si>
  <si>
    <t>RAPID RINSE CAR WASH</t>
  </si>
  <si>
    <t>Automotive</t>
  </si>
  <si>
    <t>RAPID RINSE</t>
  </si>
  <si>
    <t>BP#6772867SUNSHINE # 148</t>
  </si>
  <si>
    <t>BPSUNSHINE</t>
  </si>
  <si>
    <t>CHEVRON 0304793</t>
  </si>
  <si>
    <t>CHEVRON</t>
  </si>
  <si>
    <t>WAWA# 5283</t>
  </si>
  <si>
    <t>WAWA#</t>
  </si>
  <si>
    <t>TRADER JOE S #699</t>
  </si>
  <si>
    <t>TRADER JOE</t>
  </si>
  <si>
    <t>Derm Specialists IL</t>
  </si>
  <si>
    <t>BLAIN'S FARM &amp;amp; FLEET</t>
  </si>
  <si>
    <t>BLAIN'S FARM</t>
  </si>
  <si>
    <t>SHELL OIL 57445585201</t>
  </si>
  <si>
    <t>SHELL OIL</t>
  </si>
  <si>
    <t>HOMOSASSA RETAIL &amp;amp; FERRY</t>
  </si>
  <si>
    <t>HOMOSASSA RETAIL</t>
  </si>
  <si>
    <t>HYATT REGENCY ST.LOUIS F</t>
  </si>
  <si>
    <t>HYATT REGENCY</t>
  </si>
  <si>
    <t>PAYPAL *BASIC FUN</t>
  </si>
  <si>
    <t>BASIC FUN</t>
  </si>
  <si>
    <t>Audible*J83HO0883</t>
  </si>
  <si>
    <t>AUDIBLE</t>
  </si>
  <si>
    <t>Audible*OP0ZK38N3</t>
  </si>
  <si>
    <t>AMERICAN AIR0014485844826</t>
  </si>
  <si>
    <t>AMERICAN AIR6</t>
  </si>
  <si>
    <t>LYFT   *1 RIDE 02-07</t>
  </si>
  <si>
    <t>AVIS RENT-A-CAR</t>
  </si>
  <si>
    <t>AVIS</t>
  </si>
  <si>
    <t>AVIS.COM PREPAY</t>
  </si>
  <si>
    <t>ETOLLAVIS U469418751</t>
  </si>
  <si>
    <t>WALGREENS #11944</t>
  </si>
  <si>
    <t>WALGREENS</t>
  </si>
  <si>
    <t>THORNTONS #221344</t>
  </si>
  <si>
    <t>THORNTONS</t>
  </si>
  <si>
    <t>LIFETIME VISION &amp;amp; CONT</t>
  </si>
  <si>
    <t>LIFETIME VISION</t>
  </si>
  <si>
    <t>ADVOCATE PATIENT PAYMENT</t>
  </si>
  <si>
    <t>ADVOCATE PATIENT</t>
  </si>
  <si>
    <t>CASEYS #6907</t>
  </si>
  <si>
    <t>The Law Office of Deni</t>
  </si>
  <si>
    <t>Attorney</t>
  </si>
  <si>
    <t>THE LAW OFFICE OF DENI</t>
  </si>
  <si>
    <t>MURPHY7579ATWALMART</t>
  </si>
  <si>
    <t>MURPHYATWALMART</t>
  </si>
  <si>
    <t>ATHANS &amp;amp; ASSOCIATES</t>
  </si>
  <si>
    <t>ATHANS</t>
  </si>
  <si>
    <t>SHELL OIL 57444087209</t>
  </si>
  <si>
    <t>ON THE RUN #517</t>
  </si>
  <si>
    <t>ON THE</t>
  </si>
  <si>
    <t>SHELL OIL 57445192701</t>
  </si>
  <si>
    <t>LOVE'S #0458 INSIDE</t>
  </si>
  <si>
    <t>THORNTONS #0342</t>
  </si>
  <si>
    <t>SAMS CLUB #6339</t>
  </si>
  <si>
    <t>TARGET        00011668</t>
  </si>
  <si>
    <t>TARGET</t>
  </si>
  <si>
    <t>WOODSTOCK CITGO</t>
  </si>
  <si>
    <t>DIRECTPAY FULL BALANCE
SEE DETAILS OF YOUR NEXT DIRECTPAY BELOW</t>
  </si>
  <si>
    <t>Payments and Credits</t>
  </si>
  <si>
    <t>Payment</t>
  </si>
  <si>
    <t>CARD PAYMENT</t>
  </si>
  <si>
    <t>WALGREENS #6746</t>
  </si>
  <si>
    <t>KRV Legal LLP Ridings</t>
  </si>
  <si>
    <t>KRV Legal</t>
  </si>
  <si>
    <t>BESTBUYCOM807121003077</t>
  </si>
  <si>
    <t>BESTBUYCOM</t>
  </si>
  <si>
    <t>SAVERS - 1176</t>
  </si>
  <si>
    <t>SAVERS</t>
  </si>
  <si>
    <t>HABITAT FOR HUMANITY WS</t>
  </si>
  <si>
    <t>HABITAT FOR</t>
  </si>
  <si>
    <t>BP#6255236ARROWHEAD BP</t>
  </si>
  <si>
    <t>BPARROWHEAD</t>
  </si>
  <si>
    <t>ROAD RANGER #242</t>
  </si>
  <si>
    <t>ROAD RANGER</t>
  </si>
  <si>
    <t>CIRCLE K 00129</t>
  </si>
  <si>
    <t>CIRCLE K</t>
  </si>
  <si>
    <t>CRYSTAL LAKE IMM CARE PHY</t>
  </si>
  <si>
    <t>MSC CRUISES USA</t>
  </si>
  <si>
    <t>MSC Cruises</t>
  </si>
  <si>
    <t>MSC Cruises USA</t>
  </si>
  <si>
    <t>EXXON 7-ELEVEN 41290</t>
  </si>
  <si>
    <t>EXXON</t>
  </si>
  <si>
    <t>U-HAUL MOVING &amp;amp; STORAGE O</t>
  </si>
  <si>
    <t>U-HAUL MOVING</t>
  </si>
  <si>
    <t>AIRBNB * HMYWF9HWJZ</t>
  </si>
  <si>
    <t>AIRBNB</t>
  </si>
  <si>
    <t>DIRECTPAY FULL BALANCE
2URP3XEL2LO</t>
  </si>
  <si>
    <t>AIRBNB * HMNNHCP4KT</t>
  </si>
  <si>
    <t>RAPID RINSE CAR WASH CRYSTAL LAKE IL</t>
  </si>
  <si>
    <t>IL TOLLWAY-WEB-UNPD TOLL</t>
  </si>
  <si>
    <t>IL TOLLWAY</t>
  </si>
  <si>
    <t>MARIANO'S FUEL 9544 CRYSTAL LAKE IL</t>
  </si>
  <si>
    <t>MARIANO'S FUEL</t>
  </si>
  <si>
    <t>BP#9151747BULL VALLEY BP MCHENRY IL</t>
  </si>
  <si>
    <t>BPBULL VALLEY</t>
  </si>
  <si>
    <t>ADVOCATE PATIENT PAYMENT DOWNERS GROVEIL</t>
  </si>
  <si>
    <t>BOOST MOBILE 833-502-6678 CO</t>
  </si>
  <si>
    <t>Mobile</t>
  </si>
  <si>
    <t>BOOST MOBILE</t>
  </si>
  <si>
    <t>ALL SAFE SELF STORAGE LI 815-6904768 IL
50484695</t>
  </si>
  <si>
    <t>ALL SAFE SELF STORAGE LI 815-6904768 IL</t>
  </si>
  <si>
    <t>AAA ACG NE0069 EFT RCC 800-222-1134 MI
EFUKWG51PBU3QTVCHAK5O</t>
  </si>
  <si>
    <t>AAA ACG</t>
  </si>
  <si>
    <t>BATH &amp;amp; BODY WORKS 4303</t>
  </si>
  <si>
    <t>BATH</t>
  </si>
  <si>
    <t>GOODWILL CRYSTAL LAKE</t>
  </si>
  <si>
    <t>GOODWILL CRYSTAL</t>
  </si>
  <si>
    <t>MENARDS CRYSTAL LAKE IL</t>
  </si>
  <si>
    <t>FLAGSHIP ICON 404</t>
  </si>
  <si>
    <t>FLAGSHIP ICON</t>
  </si>
  <si>
    <t>SAMSCLUB 6339 GAS</t>
  </si>
  <si>
    <t>GAQGIFT* GEORGIA AQUAR</t>
  </si>
  <si>
    <t>GAQGIFT* GEORGIA</t>
  </si>
  <si>
    <t>GEORGIA AQUARIUM</t>
  </si>
  <si>
    <t>COCA COLA ATLANTA</t>
  </si>
  <si>
    <t>COCA COLA</t>
  </si>
  <si>
    <t>IL TOLLWAY-AUTOREPLENISH 800-824-7277 IL</t>
  </si>
  <si>
    <t>TACO BELL #30401</t>
  </si>
  <si>
    <t>TACO BELL</t>
  </si>
  <si>
    <t>VILLAGE VINTNER WINERY</t>
  </si>
  <si>
    <t>VILLAGE VINTNER</t>
  </si>
  <si>
    <t>FIV*DOUBLE TAKE</t>
  </si>
  <si>
    <t>DOUBLE TAKE</t>
  </si>
  <si>
    <t>GOODWILL RETAIL #087</t>
  </si>
  <si>
    <t>GOODWILL RETAIL</t>
  </si>
  <si>
    <t>OLLIES BARGAIN OUTLET 494</t>
  </si>
  <si>
    <t>OLLIES BARGAIN</t>
  </si>
  <si>
    <t>DIRECTPAY FULL BALANCE
AB2ATVIYELLDRWP0X8QEO</t>
  </si>
  <si>
    <t>MENARDS MONTGOMERY IL</t>
  </si>
  <si>
    <t>IL TOLLWAY-WEB 630-241-6800 IL</t>
  </si>
  <si>
    <t>DERM SPECIALISTS IL WOODSTOCK IL</t>
  </si>
  <si>
    <t>DERMATOLOGY SPECIALIST DERMSPECIALISIL</t>
  </si>
  <si>
    <t>SQ *KAREN CLARKSON</t>
  </si>
  <si>
    <t>KAREN CLARKSON</t>
  </si>
  <si>
    <t>GEORGIAAQUARIUMECOM</t>
  </si>
  <si>
    <t>FLT#FO2531884 #2422208</t>
  </si>
  <si>
    <t>FLT#FO884</t>
  </si>
  <si>
    <t>TRICOCI - CRYSTAL LAKE TRICOCI.COM IL</t>
  </si>
  <si>
    <t>TRICOCI</t>
  </si>
  <si>
    <t>MURPHY7579ATWALMART WOODSTOCK IL</t>
  </si>
  <si>
    <t>MURPHYATWALMART WOODSTOCK</t>
  </si>
  <si>
    <t>STARBUCKS STORE 02426</t>
  </si>
  <si>
    <t>STARBUCKS</t>
  </si>
  <si>
    <t>MCDONALD'S F34643</t>
  </si>
  <si>
    <t>MCDONALD'S F12878</t>
  </si>
  <si>
    <t>DOMINO'S 2946</t>
  </si>
  <si>
    <t>MSC CRUISES INTERNET GENEVE CHE</t>
  </si>
  <si>
    <t>FH* SALTY SIREN TOURS</t>
  </si>
  <si>
    <t>SALTY SIREN TOURS</t>
  </si>
  <si>
    <t>TRADEWIND COVE BIRKENSTO CRYSTAL LAKE IL
6592PI7VCDX</t>
  </si>
  <si>
    <t>TRADEWIND COVE</t>
  </si>
  <si>
    <t>OLDNAVY.COM 800-427-7895 CA
2JQHSKHCOHY</t>
  </si>
  <si>
    <t>MENARDS WOODSTOCK IL WOODSTOCK IL</t>
  </si>
  <si>
    <t>TEMU.COM 888-221-1161 MA</t>
  </si>
  <si>
    <t>TEMU.COM</t>
  </si>
  <si>
    <t>TACO BELL #4752</t>
  </si>
  <si>
    <t>CL *Chase Travel</t>
  </si>
  <si>
    <t>Chase Travel</t>
  </si>
  <si>
    <t>DOMINO'S 2786</t>
  </si>
  <si>
    <t>DIRECTPAY FULL BALANCE
V3TQGCS6YJN</t>
  </si>
  <si>
    <t>DIRECTPAY FULL BALANCE</t>
  </si>
  <si>
    <t>OLDNAVY.COM 800-427-7895 CA
R7P3A18BBIUFWQGTMZDRX4</t>
  </si>
  <si>
    <t>Payment Thank You - Web</t>
  </si>
  <si>
    <t>LAW OFFICE OF ROBERT FET</t>
  </si>
  <si>
    <t>Payment Thank You-Mobile</t>
  </si>
  <si>
    <t>SC* CRYSTAL LAKE LITTL</t>
  </si>
  <si>
    <t>CRYSTAL LAKE LITTLE LEAGUE</t>
  </si>
  <si>
    <t>UNITED      0164365258236</t>
  </si>
  <si>
    <t>UNITED</t>
  </si>
  <si>
    <t>PRICELN*STAYBRIDGE SUI</t>
  </si>
  <si>
    <t>MURPHY7600ATWALMART</t>
  </si>
  <si>
    <t>OLDNAVY.COM 800-427-7895 CA
ONC91ICKW25FCMGHCJ2AD5</t>
  </si>
  <si>
    <t>SHELL OIL 57443514401</t>
  </si>
  <si>
    <t>AUTOMATIC PAYMENT - THANK</t>
  </si>
  <si>
    <t>TOTALAV.COM LOS ANGELES CA</t>
  </si>
  <si>
    <t>TOTALAV.COM LOS</t>
  </si>
  <si>
    <t>ROAD RUNNER SPORTS 800-743-3206 CA</t>
  </si>
  <si>
    <t>ROAD RUNNER</t>
  </si>
  <si>
    <t>HAMPTON INNS</t>
  </si>
  <si>
    <t>HYATT PLACE ATLANTA CP</t>
  </si>
  <si>
    <t>HYATT PLACE</t>
  </si>
  <si>
    <t>METRA</t>
  </si>
  <si>
    <t>GRAND BEAR RESORT</t>
  </si>
  <si>
    <t>GRAND BEAR</t>
  </si>
  <si>
    <t>MURPHY7527ATWALMART</t>
  </si>
  <si>
    <t>WW INT'L-DIGITAL 800-221-2112 NY
52875359</t>
  </si>
  <si>
    <t>REBECCA LEIFELD MA, LCPC 847-710-1764 IL</t>
  </si>
  <si>
    <t>PRIME VIDEO CHANNELS AMZN.COM/BILLWA</t>
  </si>
  <si>
    <t>PRIME VIDEO</t>
  </si>
  <si>
    <t>PRIME VIDEO CHANNELS AMZN.COM/BILLWA
7F4HJUYX78N</t>
  </si>
  <si>
    <t>PRIME VIDEO CHANNELS AMZN.COM/BILLWA
QEZ5AA78P06</t>
  </si>
  <si>
    <t>TACO BELL #035323 ELBURN IL</t>
  </si>
  <si>
    <t>TACO BELL #30401 WOODSTOCK IL</t>
  </si>
  <si>
    <t>OUTBACK 1421 CRYSTAL LAKE IL
01969Q</t>
  </si>
  <si>
    <t>OUTBACK</t>
  </si>
  <si>
    <t>BOOST MOBILE 720-514-6421 CO</t>
  </si>
  <si>
    <t>BOOST MOBILE 833-502-6678 CO
7KNF9P2YANA</t>
  </si>
  <si>
    <t>DIRECTPAY FULL BALANCE
7ISX6ZENL7R
CRXMZ7HW4DN
67UA1JEPIB1</t>
  </si>
  <si>
    <t>TACO BELL 036195</t>
  </si>
  <si>
    <t>CULVERS LAKE IN THE HILL</t>
  </si>
  <si>
    <t>LOGANS ROADHOUSE 3456</t>
  </si>
  <si>
    <t>LOGANS ROADHOUSE</t>
  </si>
  <si>
    <t>TOMMYS RED HOTS</t>
  </si>
  <si>
    <t>TOMMYS RED</t>
  </si>
  <si>
    <t>JIMMY JOHNS - 0585 - ECO WOODSTOCK IL
SEE DETAILS OF YOUR NEXT DIRECTPAY BELOW
64UJW9YYB11
1XFP7G15R36
I7ZHAG6EFHM
5O9ERU4SO6J
6P53N0VZSDH</t>
  </si>
  <si>
    <t>JIMMY JOHNS - 0585 - ECOM</t>
  </si>
  <si>
    <t>Audible*B22P40VO1</t>
  </si>
  <si>
    <t>Audible*N439W5EI0</t>
  </si>
  <si>
    <t>Audible*WN6367Y73</t>
  </si>
  <si>
    <t>CULVERS OF N AURORA</t>
  </si>
  <si>
    <t>CULVERS OF HUNTLEY</t>
  </si>
  <si>
    <t>SQ *EL TACO FELIZ</t>
  </si>
  <si>
    <t>EL TACO FELIZ</t>
  </si>
  <si>
    <t>WENDYS #0751</t>
  </si>
  <si>
    <t>MCDONALD'S F3488</t>
  </si>
  <si>
    <t>MCDONALD'S F14021</t>
  </si>
  <si>
    <t>BUC-EE'S #62</t>
  </si>
  <si>
    <t>BUC-EE'S</t>
  </si>
  <si>
    <t>BUC-EE'S #52</t>
  </si>
  <si>
    <t>TST*ELGIN PUBLIC HOUSE</t>
  </si>
  <si>
    <t>ELGIN PUBLIC HOUSE</t>
  </si>
  <si>
    <t>TST* LOU MALNATI'S - LAKE</t>
  </si>
  <si>
    <t>LOU MALNATI'S - LAKE</t>
  </si>
  <si>
    <t>CULVERS WOODSTOCK WOODSTOCK IL</t>
  </si>
  <si>
    <t>PORTILLOS HOT DOGS #23</t>
  </si>
  <si>
    <t>PORTILLOS HOT</t>
  </si>
  <si>
    <t>PANERA BREAD #204024 O</t>
  </si>
  <si>
    <t>TST* JAMBA JUICE - 0189 -</t>
  </si>
  <si>
    <t>JAMBA JUICE - 0189 -</t>
  </si>
  <si>
    <t>TST*JULIE ANNS FROZEN C</t>
  </si>
  <si>
    <t>JULIE ANNS FROZEN C</t>
  </si>
  <si>
    <t>MCDONALD'S F12987</t>
  </si>
  <si>
    <t>Audible*D967T0JZ3</t>
  </si>
  <si>
    <t>Audible*1U46W0423</t>
  </si>
  <si>
    <t>Audible*0E7OQ5Z23</t>
  </si>
  <si>
    <t>Audible*NB6RF5YP3</t>
  </si>
  <si>
    <t>Audible*190BL7O53</t>
  </si>
  <si>
    <t>Audible*NO2SQ0WP0</t>
  </si>
  <si>
    <t>Audible*N68182860</t>
  </si>
  <si>
    <t>Audible*N66DV78F0</t>
  </si>
  <si>
    <t>Audible*NH8LZ3OL2</t>
  </si>
  <si>
    <t>DOMINO'S 2946 OSWEGO IL</t>
  </si>
  <si>
    <t>TCKTWEB*CHRISOCONNOR</t>
  </si>
  <si>
    <t>CHRISOCONNOR</t>
  </si>
  <si>
    <t>MLB*BREWERS TICKETS</t>
  </si>
  <si>
    <t>Audible*J63QR02E3</t>
  </si>
  <si>
    <t>Audible*V12JW2S13</t>
  </si>
  <si>
    <t>STARBUCKS STORE 54175</t>
  </si>
  <si>
    <t>TACO BELL #035323</t>
  </si>
  <si>
    <t>STARBUCKS STORE 11490</t>
  </si>
  <si>
    <t>STARBUCKS STORE 70143</t>
  </si>
  <si>
    <t>MCDONALD'S M7214</t>
  </si>
  <si>
    <t>ALL SAFE SELF STORAGE LI 815-6904768 IL
NETFLIX.COM
CH1/53-47248</t>
  </si>
  <si>
    <t>MCDONALDS F34745</t>
  </si>
  <si>
    <t>DD/BR #344504 Q35</t>
  </si>
  <si>
    <t>ELEMENT MIAMI INTERNATION</t>
  </si>
  <si>
    <t>ELEMENT MIAMI</t>
  </si>
  <si>
    <t>TST*NEAT KITCHEN &amp;amp; BAR O</t>
  </si>
  <si>
    <t>NEAT KITCHEN &amp;amp; BAR O</t>
  </si>
  <si>
    <t>ZOOT'S CAF ORD</t>
  </si>
  <si>
    <t>ZOOT'S CAF</t>
  </si>
  <si>
    <t>PANERA BREAD #204414 P</t>
  </si>
  <si>
    <t>JIMMY JOHNS - 0585</t>
  </si>
  <si>
    <t>TST*OZZIES DINER</t>
  </si>
  <si>
    <t>OZZIES DINER</t>
  </si>
  <si>
    <t>TCKTWEB*CHRISTOPHERTIT</t>
  </si>
  <si>
    <t>CHRISTOPHERTIT</t>
  </si>
  <si>
    <t>ALLIANZ TRAVEL INS</t>
  </si>
  <si>
    <t>ALLIANZ TRAVEL</t>
  </si>
  <si>
    <t>MCDONALD'S F19354</t>
  </si>
  <si>
    <t>OUTBACK 1421</t>
  </si>
  <si>
    <t>CHICK-FIL-A #03227</t>
  </si>
  <si>
    <t>BBQ KING SMOKEHOUSE HUNT</t>
  </si>
  <si>
    <t>BBQ KING</t>
  </si>
  <si>
    <t>Subway 44371</t>
  </si>
  <si>
    <t>Subway</t>
  </si>
  <si>
    <t>KIRIN KING ASIAN CUISIN.</t>
  </si>
  <si>
    <t>KIRIN KING</t>
  </si>
  <si>
    <t>Subway 36833</t>
  </si>
  <si>
    <t>STARBUCKS STORE 02556</t>
  </si>
  <si>
    <t>MCDONALD'S F34869</t>
  </si>
  <si>
    <t>MCDONALD'S F13083</t>
  </si>
  <si>
    <t>AMC 6501 LAKE IN HILLS</t>
  </si>
  <si>
    <t>AMC LAKE</t>
  </si>
  <si>
    <t>EMBASSY RIVRSIDE CAFE</t>
  </si>
  <si>
    <t>EMBASSY RIVRSIDE</t>
  </si>
  <si>
    <t>WENDY'S 13447</t>
  </si>
  <si>
    <t>TACO BELL 036194</t>
  </si>
  <si>
    <t>SQ *MID-AMERICA FESTIVALS</t>
  </si>
  <si>
    <t>MID-AMERICA FESTIVALS</t>
  </si>
  <si>
    <t>SQ *LIFELINES BY FIDELE</t>
  </si>
  <si>
    <t>LIFELINES BY FIDELE</t>
  </si>
  <si>
    <t>RUSTY NAIL SALOON</t>
  </si>
  <si>
    <t>RUSTY NAIL</t>
  </si>
  <si>
    <t>WENDY'S 7008</t>
  </si>
  <si>
    <t>MCDONALD'S F14738</t>
  </si>
  <si>
    <t>CTLP*MEDALLION MINT LL</t>
  </si>
  <si>
    <t>CTLP*MEDALLION MINT</t>
  </si>
  <si>
    <t>DNCSS AM FAM FIELD CON</t>
  </si>
  <si>
    <t>DNCSS AM</t>
  </si>
  <si>
    <t>COUNTRYDONUTS</t>
  </si>
  <si>
    <t>NATIONAL ENTERTAINMENT N</t>
  </si>
  <si>
    <t>NATIONAL ENTERTAINMENT</t>
  </si>
  <si>
    <t>TCKTWEB*ROBSCHNEIDER</t>
  </si>
  <si>
    <t>ROBSCHNEIDER</t>
  </si>
  <si>
    <t>SQ *STAMP ICE</t>
  </si>
  <si>
    <t>STAMP ICE</t>
  </si>
  <si>
    <t>SQ *MY FUNNEL TRUCK LLC</t>
  </si>
  <si>
    <t>MY FUNNEL TRUCK LLC</t>
  </si>
  <si>
    <t>TWIN PEAKS - ALGONQUIN</t>
  </si>
  <si>
    <t>TWIN PEAKS</t>
  </si>
  <si>
    <t>BOOMERSBAS* BOOMERSBAS</t>
  </si>
  <si>
    <t>DAIRY QUEEN #19447</t>
  </si>
  <si>
    <t>DAIRY QUEEN</t>
  </si>
  <si>
    <t>STAMPEDE PIRATE HATFIELD</t>
  </si>
  <si>
    <t>STAMPEDE PIRATE</t>
  </si>
  <si>
    <t>IHOP #3209</t>
  </si>
  <si>
    <t>IHOP</t>
  </si>
  <si>
    <t>CRAZY CRAIGS TREEHOUSE</t>
  </si>
  <si>
    <t>CRAZY CRAIGS</t>
  </si>
  <si>
    <t>BINNYS BEV DEPOT 41</t>
  </si>
  <si>
    <t>BINNYS BEV</t>
  </si>
  <si>
    <t>OLIVE GARDEN ZK 0021784</t>
  </si>
  <si>
    <t>OLIVE GARDEN</t>
  </si>
  <si>
    <t>JIMMY JOHNS - 967 - ECOMM</t>
  </si>
  <si>
    <t>TOUR* BRANSON DUCK TOU</t>
  </si>
  <si>
    <t>BRANSON DUCK TOU</t>
  </si>
  <si>
    <t>WALNUT SPEAKEASY</t>
  </si>
  <si>
    <t>FH* SHEPERD OF THE HIL</t>
  </si>
  <si>
    <t>SHEPERD OF THE HIL</t>
  </si>
  <si>
    <t>TCKTWEB*STEVEO</t>
  </si>
  <si>
    <t>STEVEO</t>
  </si>
  <si>
    <t>SQ *BROTHERS' BBQ FOOD TR</t>
  </si>
  <si>
    <t>BROTHERS' BBQ FOOD TR</t>
  </si>
  <si>
    <t>SQ *KONA ICE OF MCHENRY C</t>
  </si>
  <si>
    <t>KONA ICE OF MCHENRY C</t>
  </si>
  <si>
    <t>TDC*CHICAGO DOGS I</t>
  </si>
  <si>
    <t>CHICAGO DOGS I</t>
  </si>
  <si>
    <t>FOX VALLEY WINERY</t>
  </si>
  <si>
    <t>TACO BELL #26749</t>
  </si>
  <si>
    <t>ART BAR CAFE &amp; GALLERY MILWAUKEE WI</t>
  </si>
  <si>
    <t>ART BAR</t>
  </si>
  <si>
    <t>PANERA BREAD #203286 P CRYSTAL LAKE IL
342818</t>
  </si>
  <si>
    <t>WENDY'S #0507 WOODSTOCK IL</t>
  </si>
  <si>
    <t>DOMINO'S 2786 CRYSTAL LAKE IL</t>
  </si>
  <si>
    <t>JIMMY JOHNS - 0585 - ECO WOODSTOCK IL
6DM3GHR0JF8</t>
  </si>
  <si>
    <t>JIMMY JOHNS - 0585 - ECO WOODSTOCK IL
MD0RXDPNHJ6
5T0ZQSKQMJ2</t>
  </si>
  <si>
    <t>DUNKIN #306605 Q35</t>
  </si>
  <si>
    <t>MILWAUKEE BREWERS F&amp;B MILWAUKEE WI</t>
  </si>
  <si>
    <t>MILWAUKEE BREWERS</t>
  </si>
  <si>
    <t>MCDONALD'S F3488 WOODSTOCK IL</t>
  </si>
  <si>
    <t>MCDONALD'S M7214 CRYSTAL LAKE IL</t>
  </si>
  <si>
    <t>CLASSIC CINEMAS WOODSTOC WOODSTOCK IL</t>
  </si>
  <si>
    <t>PRIME VIDEO CHANNELS AMZN.COM/BILLWA
3910T9QX6BS</t>
  </si>
  <si>
    <t>PRIME VIDEO CHANNELS AMZN.COM/BILLWA
4IX0CCK3WUC</t>
  </si>
  <si>
    <t>NETFLIX.COM NETFLIX.COM CA
NETFLIX.COM</t>
  </si>
  <si>
    <t>NETFLIX</t>
  </si>
  <si>
    <t>NETFLIX.COM NETFLIX.COM CA</t>
  </si>
  <si>
    <t>AMC 9640 ONLINE 888-440-4262 KS</t>
  </si>
  <si>
    <t>AMC ONLINE</t>
  </si>
  <si>
    <t>TST* LAKEFRONT BREWERY MILWAUKEE WI</t>
  </si>
  <si>
    <t>LAKEFRONT BREWERY MILWAUKEE WI</t>
  </si>
  <si>
    <t>TM *JOHN CRIST LIVE 800-653-8000 CA
CH1/59-52747</t>
  </si>
  <si>
    <t>JOHN CRIST LIVE 800-653-8000 CA
CH1/59-52747</t>
  </si>
  <si>
    <t>MCDONALD'S F14021 CRYSTAL LAKE IL</t>
  </si>
  <si>
    <t>NETFLIX.COM LOS GATOS CA</t>
  </si>
  <si>
    <t>NETFLIX.COM NETFLIX.COM CA
4M7NL59APEF</t>
  </si>
  <si>
    <t>PRIME VIDEO CHANNELS AMZN.COM/BILLWA
4787CIQTZB2</t>
  </si>
  <si>
    <t>PRIME VIDEO CHANNELS AMZN.COM/BILLWA
6J7G1R404JP</t>
  </si>
  <si>
    <t>PRIME VIDEO CHANNELS AMZN.COM/BILLWA
2OIYGIRGG22</t>
  </si>
  <si>
    <t>TM *BRAD WILLIAMS 800-653-8000 CA</t>
  </si>
  <si>
    <t>BRAD WILLIAMS 800-653-8000 CA</t>
  </si>
  <si>
    <t>SXM*SIRIUSXM.COM/ACCT 888-635-5144 NY
TEMPORARY CREDIT PENDING INVESTIGATION</t>
  </si>
  <si>
    <t>SXM*SIRIUSXM.COM/ACCT 888-635-5144 NY
T1,207E7B6E,11E3</t>
  </si>
  <si>
    <t>SXM*SIRIUSXM.COM/ACCT 888-635-5144 NY
REVERSAL OF TEMPORARY CREDIT</t>
  </si>
  <si>
    <t>JIMMY JOHNS - 0585 - ECO WOODSTOCK IL
NETFLIX.COM</t>
  </si>
  <si>
    <t>PRIME VIDEO CHANNELS AMZN.COM/BILLWA
2A4DRY4RO4N</t>
  </si>
  <si>
    <t>AUDIBLE*NN3XI1BV2 AMZN.COM/BILLNJ
181T1YZLD48</t>
  </si>
  <si>
    <t>AUDIBLE*NB5VQ9D60 AMZN.COM/BILLNJ
6VR2BDA8UTV</t>
  </si>
  <si>
    <t>NETFLIX.COM NETFLIX.COM CA
L8JO1BR4GZ8TWHGQVDABA4</t>
  </si>
  <si>
    <t>Grand Total</t>
  </si>
  <si>
    <t>TRUE</t>
  </si>
  <si>
    <t>Discretionary</t>
  </si>
  <si>
    <t>Gifts &amp; Donations Total</t>
  </si>
  <si>
    <t>Shopping Total</t>
  </si>
  <si>
    <t>Travel Total</t>
  </si>
  <si>
    <t>TRUE Total</t>
  </si>
  <si>
    <t>Eating Out Total</t>
  </si>
  <si>
    <t>Entertainment Total</t>
  </si>
  <si>
    <t>Sum of Charges</t>
  </si>
  <si>
    <t>Category</t>
  </si>
  <si>
    <t>Transactions</t>
  </si>
  <si>
    <t>Amount Per Transaction</t>
  </si>
  <si>
    <t>Total Amount</t>
  </si>
  <si>
    <t>Amount Per Month</t>
  </si>
  <si>
    <t>Growth Rate</t>
  </si>
  <si>
    <t>Amount Per Month With Growth Rate</t>
  </si>
  <si>
    <t>Delta Per Month</t>
  </si>
  <si>
    <t>Total Amount With Growth Rate</t>
  </si>
  <si>
    <t>Delta Total Amount</t>
  </si>
  <si>
    <t>Created by Mark Meschi on 5/20/2026
Modified by Mark Meschi on 5/20/2026</t>
  </si>
  <si>
    <t>Created by Mark Meschi on 5/20/2026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</si>
  <si>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</si>
  <si>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</si>
  <si>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</si>
  <si>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</si>
  <si>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</si>
  <si>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</si>
  <si>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</si>
  <si>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Worst Case</t>
  </si>
  <si>
    <t>Medium Case</t>
  </si>
  <si>
    <t>Best Case</t>
  </si>
  <si>
    <t>Gas_Growth</t>
  </si>
  <si>
    <t>Shopping_Growth</t>
  </si>
  <si>
    <t>Eating_Out_Growth</t>
  </si>
  <si>
    <t>Entertainment_Growth</t>
  </si>
  <si>
    <t>Gas_Per_Month_With_Growth</t>
  </si>
  <si>
    <t>Shopping_Per_Month_With_Growth</t>
  </si>
  <si>
    <t>Eating_Out_Per_Month_With_Growt</t>
  </si>
  <si>
    <t>Entertainment_Per_Month_With_Gr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</si>
</sst>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0" fontId="0" fillId="0" borderId="0" xfId="0" applyAlignment="1">
      <alignment wrapText="1"/>
    </xf>
    <xf numFmtId="0" fontId="0" fillId="0" borderId="0" xfId="0" pivotButton="1"/>
    <xf numFmtId="164" fontId="0" fillId="0" borderId="0" xfId="0" applyNumberFormat="1"/>
    <xf numFmtId="10" fontId="0" fillId="0" borderId="0" xfId="1" applyNumberFormat="1" applyFont="1"/>
    <xf numFmtId="164" fontId="0" fillId="0" borderId="0" xfId="1" applyNumberFormat="1" applyFont="1"/>
    <xf numFmtId="0" fontId="0" fillId="0" borderId="0" xfId="0" applyFill="1" applyBorder="1" applyAlignment="1"/>
    <xf numFmtId="10" fontId="0" fillId="0" borderId="0" xfId="0" applyNumberFormat="1" applyFill="1" applyBorder="1" applyAlignment="1"/>
    <xf numFmtId="0" fontId="18" fillId="33" borderId="12" xfId="0" applyFont="1" applyFill="1" applyBorder="1" applyAlignment="1">
      <alignment horizontal="left"/>
    </xf>
    <xf numFmtId="0" fontId="18" fillId="33" borderId="10" xfId="0" applyFont="1" applyFill="1" applyBorder="1" applyAlignment="1">
      <alignment horizontal="left"/>
    </xf>
    <xf numFmtId="0" fontId="0" fillId="0" borderId="13" xfId="0" applyFill="1" applyBorder="1" applyAlignment="1"/>
    <xf numFmtId="0" fontId="19" fillId="34" borderId="0" xfId="0" applyFont="1" applyFill="1" applyBorder="1" applyAlignment="1">
      <alignment horizontal="left"/>
    </xf>
    <xf numFmtId="0" fontId="20" fillId="34" borderId="13" xfId="0" applyFont="1" applyFill="1" applyBorder="1" applyAlignment="1">
      <alignment horizontal="left"/>
    </xf>
    <xf numFmtId="0" fontId="19" fillId="34" borderId="11" xfId="0" applyFont="1" applyFill="1" applyBorder="1" applyAlignment="1">
      <alignment horizontal="left"/>
    </xf>
    <xf numFmtId="0" fontId="21" fillId="33" borderId="10" xfId="0" applyFont="1" applyFill="1" applyBorder="1" applyAlignment="1">
      <alignment horizontal="right"/>
    </xf>
    <xf numFmtId="0" fontId="21" fillId="33" borderId="12" xfId="0" applyFont="1" applyFill="1" applyBorder="1" applyAlignment="1">
      <alignment horizontal="right"/>
    </xf>
    <xf numFmtId="10" fontId="0" fillId="35" borderId="0" xfId="0" applyNumberFormat="1" applyFill="1" applyBorder="1" applyAlignment="1"/>
    <xf numFmtId="0" fontId="22" fillId="0" borderId="0" xfId="0" applyFont="1" applyFill="1" applyBorder="1" applyAlignment="1">
      <alignment vertical="top" wrapText="1"/>
    </xf>
    <xf numFmtId="164" fontId="0" fillId="0" borderId="11" xfId="0" applyNumberFormat="1" applyFill="1" applyBorder="1" applyAlignment="1"/>
    <xf numFmtId="164" fontId="0" fillId="0" borderId="0" xfId="0" applyNumberFormat="1" applyFill="1" applyBorder="1" applyAlignme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3">
    <dxf>
      <numFmt numFmtId="164" formatCode="&quot;$&quot;#,##0.00"/>
    </dxf>
    <dxf>
      <font>
        <b val="0"/>
        <i val="0"/>
        <strike val="0"/>
        <condense val="0"/>
        <extend val="0"/>
        <outline val="0"/>
        <shadow val="0"/>
        <u val="none"/>
        <vertAlign val="baseline"/>
        <sz val="11"/>
        <color theme="1"/>
        <name val="Aptos Narrow"/>
        <family val="2"/>
        <scheme val="minor"/>
      </font>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7</xdr:col>
      <xdr:colOff>139700</xdr:colOff>
      <xdr:row>0</xdr:row>
      <xdr:rowOff>47625</xdr:rowOff>
    </xdr:from>
    <xdr:to>
      <xdr:col>10</xdr:col>
      <xdr:colOff>139700</xdr:colOff>
      <xdr:row>14</xdr:row>
      <xdr:rowOff>133347</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8CB7537-826C-AF37-3ACC-E621358DB6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67775" y="44450"/>
              <a:ext cx="1828800" cy="2622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438150</xdr:colOff>
      <xdr:row>0</xdr:row>
      <xdr:rowOff>47625</xdr:rowOff>
    </xdr:from>
    <xdr:to>
      <xdr:col>7</xdr:col>
      <xdr:colOff>66675</xdr:colOff>
      <xdr:row>14</xdr:row>
      <xdr:rowOff>133347</xdr:rowOff>
    </xdr:to>
    <mc:AlternateContent xmlns:mc="http://schemas.openxmlformats.org/markup-compatibility/2006">
      <mc:Choice xmlns:a14="http://schemas.microsoft.com/office/drawing/2010/main" Requires="a14">
        <xdr:graphicFrame macro="">
          <xdr:nvGraphicFramePr>
            <xdr:cNvPr id="3" name="Discretionary">
              <a:extLst>
                <a:ext uri="{FF2B5EF4-FFF2-40B4-BE49-F238E27FC236}">
                  <a16:creationId xmlns:a16="http://schemas.microsoft.com/office/drawing/2014/main" id="{EF550124-F399-172A-29F3-F862DF75A806}"/>
                </a:ext>
              </a:extLst>
            </xdr:cNvPr>
            <xdr:cNvGraphicFramePr/>
          </xdr:nvGraphicFramePr>
          <xdr:xfrm>
            <a:off x="0" y="0"/>
            <a:ext cx="0" cy="0"/>
          </xdr:xfrm>
          <a:graphic>
            <a:graphicData uri="http://schemas.microsoft.com/office/drawing/2010/slicer">
              <sle:slicer xmlns:sle="http://schemas.microsoft.com/office/drawing/2010/slicer" name="Discretionary"/>
            </a:graphicData>
          </a:graphic>
        </xdr:graphicFrame>
      </mc:Choice>
      <mc:Fallback>
        <xdr:sp macro="" textlink="">
          <xdr:nvSpPr>
            <xdr:cNvPr id="0" name=""/>
            <xdr:cNvSpPr>
              <a:spLocks noTextEdit="1"/>
            </xdr:cNvSpPr>
          </xdr:nvSpPr>
          <xdr:spPr>
            <a:xfrm>
              <a:off x="6962775" y="44450"/>
              <a:ext cx="1825625" cy="2622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0</xdr:row>
      <xdr:rowOff>44450</xdr:rowOff>
    </xdr:from>
    <xdr:to>
      <xdr:col>13</xdr:col>
      <xdr:colOff>196850</xdr:colOff>
      <xdr:row>34</xdr:row>
      <xdr:rowOff>152400</xdr:rowOff>
    </xdr:to>
    <mc:AlternateContent xmlns:mc="http://schemas.openxmlformats.org/markup-compatibility/2006">
      <mc:Choice xmlns:a14="http://schemas.microsoft.com/office/drawing/2010/main" Requires="a14">
        <xdr:graphicFrame macro="">
          <xdr:nvGraphicFramePr>
            <xdr:cNvPr id="4" name="vendor">
              <a:extLst>
                <a:ext uri="{FF2B5EF4-FFF2-40B4-BE49-F238E27FC236}">
                  <a16:creationId xmlns:a16="http://schemas.microsoft.com/office/drawing/2014/main" id="{066EBDC8-9483-892B-63E7-D4DEF0042604}"/>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dr:sp macro="" textlink="">
          <xdr:nvSpPr>
            <xdr:cNvPr id="0" name=""/>
            <xdr:cNvSpPr>
              <a:spLocks noTextEdit="1"/>
            </xdr:cNvSpPr>
          </xdr:nvSpPr>
          <xdr:spPr>
            <a:xfrm>
              <a:off x="10750550" y="47625"/>
              <a:ext cx="1831975" cy="625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Meschi" refreshedDate="46161.881478356481" createdVersion="8" refreshedVersion="8" minRefreshableVersion="3" recordCount="941" xr:uid="{32AFC3D9-1BA7-44E3-A476-372818BEFD26}">
  <cacheSource type="worksheet">
    <worksheetSource name="expenditures_enhance"/>
  </cacheSource>
  <cacheFields count="15">
    <cacheField name="transaction_date" numFmtId="14">
      <sharedItems containsSemiMixedTypes="0" containsNonDate="0" containsDate="1" containsString="0" minDate="2025-05-02T00:00:00" maxDate="2026-04-01T00:00:00"/>
    </cacheField>
    <cacheField name="description" numFmtId="0">
      <sharedItems/>
    </cacheField>
    <cacheField name="category" numFmtId="0">
      <sharedItems count="14">
        <s v="Shopping"/>
        <s v="Travel"/>
        <s v="Child Care"/>
        <s v="Eating Out"/>
        <s v="Health &amp; Wellness"/>
        <s v="Gas"/>
        <s v="Storage"/>
        <s v="Gifts &amp; Donations"/>
        <s v="Entertainment"/>
        <s v="Groceries"/>
        <s v="Automotive"/>
        <s v="Attorney"/>
        <s v="Payments and Credits"/>
        <s v="Mobile"/>
      </sharedItems>
    </cacheField>
    <cacheField name="transaction_sub_type" numFmtId="0">
      <sharedItems/>
    </cacheField>
    <cacheField name="amount" numFmtId="0">
      <sharedItems containsSemiMixedTypes="0" containsString="0" containsNumber="1" minValue="-5000" maxValue="6048"/>
    </cacheField>
    <cacheField name="vendor" numFmtId="0">
      <sharedItems count="198">
        <s v="AMAZON"/>
        <s v="LYFT"/>
        <s v="DOLLARTREE"/>
        <s v="CRYSTAL LAKE PARK DISTRICT"/>
        <s v="DUNKIN DONUTS"/>
        <s v="ANNUAL HOTEL"/>
        <s v="ARANTZA DUTY"/>
        <s v="CHRISTMAS BY"/>
        <s v="WAL-MART"/>
        <s v="GREAT CLIPS"/>
        <s v="SCHLPAY*CRYSTALLAKECCSD47"/>
        <s v="Scholastic Inc."/>
        <s v="COLOR PORTRAITS"/>
        <s v="LITTLEWAYLE"/>
        <s v="LOVE'S"/>
        <s v="DR MATTS"/>
        <s v="FRIENDSHIP HOUSE"/>
        <s v="ASSOCIATES IN PSYCHOLOGY"/>
        <s v="CASEYS"/>
        <s v="ALL SAFE"/>
        <s v="CULVERS"/>
        <s v="DERM SPECIALISTS"/>
        <s v="Save the Manatee 5k"/>
        <s v="MCDONALD's"/>
        <s v="CHIPOTLE"/>
        <s v="WW INT'L-DIGITAL"/>
        <s v="DOLLAR TREE"/>
        <s v="WINTRUST FIELD"/>
        <s v="ANTIOCH PIZZA - WOOD"/>
        <s v="IMPROV COMEDY"/>
        <s v="WENDY'S"/>
        <s v="SIRIUSXM"/>
        <s v="CLASSIC CINEMAS"/>
        <s v="CHICK-FIL-A"/>
        <s v="KOHL'S"/>
        <s v="DOMINO's"/>
        <s v="JIMMY JOHNS"/>
        <s v="ENVIRONMENTAL DEFENDE"/>
        <s v="SALTY SIREN TOURS  LL"/>
        <s v="ALLIANZ EVENT"/>
        <s v="MUDHOUSE COFFEE"/>
        <s v="XTREMEWHEELSFUNCENTER"/>
        <s v="THE CRAB SHACK"/>
        <s v="SKINNER?S AMUSEMENTS"/>
        <s v="PSC @ CHICAGO DOGS -"/>
        <s v="bathandbodyworks.com"/>
        <s v="HP"/>
        <s v="PLAYITAGAINSP"/>
        <s v="THE VILLAGE SQUIRE"/>
        <s v="TACO DALE CANTINA"/>
        <s v="FARM"/>
        <s v="OLDNAVY.COM"/>
        <s v="SCHOLASTIC BOOK"/>
        <s v="YCC STORE"/>
        <s v="ROGANS SHOES"/>
        <s v="LANE BRYANT"/>
        <s v="OUR FAMILY"/>
        <s v="JOSTENS INC."/>
        <s v="FIVE BELOW"/>
        <s v="COLOR ME"/>
        <s v="ALDI"/>
        <s v="SAMSCLUB"/>
        <s v="REBECCA LEIFELD"/>
        <s v="SP PULSE"/>
        <s v="PANERA BREAD"/>
        <s v="TORRID"/>
        <s v="MENARDS"/>
        <s v="JEWEL OSCO"/>
        <s v="LIONS DEN"/>
        <s v="RAPID RINSE"/>
        <s v="BPSUNSHINE"/>
        <s v="CHEVRON"/>
        <s v="WAWA#"/>
        <s v="TRADER JOE"/>
        <s v="BLAIN'S FARM"/>
        <s v="SHELL OIL"/>
        <s v="HOMOSASSA RETAIL"/>
        <s v="HYATT REGENCY"/>
        <s v="BASIC FUN"/>
        <s v="AUDIBLE"/>
        <s v="AMERICAN AIR6"/>
        <s v="AVIS"/>
        <s v="WALGREENS"/>
        <s v="THORNTONS"/>
        <s v="LIFETIME VISION"/>
        <s v="ADVOCATE PATIENT"/>
        <s v="THE LAW OFFICE OF DENI"/>
        <s v="MURPHYATWALMART"/>
        <s v="ATHANS"/>
        <s v="ON THE"/>
        <s v="TARGET"/>
        <s v="WOODSTOCK CITGO"/>
        <s v="CARD PAYMENT"/>
        <s v="KRV Legal"/>
        <s v="BESTBUYCOM"/>
        <s v="SAVERS"/>
        <s v="HABITAT FOR"/>
        <s v="BPARROWHEAD"/>
        <s v="ROAD RANGER"/>
        <s v="CIRCLE K"/>
        <s v="CRYSTAL LAKE IMM CARE PHY"/>
        <s v="MSC Cruises"/>
        <s v="EXXON"/>
        <s v="U-HAUL MOVING"/>
        <s v="AIRBNB"/>
        <s v="IL TOLLWAY"/>
        <s v="MARIANO'S FUEL"/>
        <s v="BPBULL VALLEY"/>
        <s v="BOOST MOBILE"/>
        <s v="AAA ACG"/>
        <s v="BATH"/>
        <s v="GOODWILL CRYSTAL"/>
        <s v="FLAGSHIP ICON"/>
        <s v="GAQGIFT* GEORGIA"/>
        <s v="GEORGIA AQUARIUM"/>
        <s v="COCA COLA"/>
        <s v="TACO BELL"/>
        <s v="VILLAGE VINTNER"/>
        <s v="DOUBLE TAKE"/>
        <s v="GOODWILL RETAIL"/>
        <s v="OLLIES BARGAIN"/>
        <s v="KAREN CLARKSON"/>
        <s v="GEORGIAAQUARIUMECOM"/>
        <s v="FLT#FO884"/>
        <s v="TRICOCI"/>
        <s v="MURPHYATWALMART WOODSTOCK"/>
        <s v="STARBUCKS"/>
        <s v="SALTY SIREN TOURS"/>
        <s v="TRADEWIND COVE"/>
        <s v="TEMU.COM"/>
        <s v="Chase Travel"/>
        <s v="LAW OFFICE OF ROBERT FET"/>
        <s v="CRYSTAL LAKE LITTLE LEAGUE"/>
        <s v="UNITED"/>
        <s v="PRICELN*STAYBRIDGE SUI"/>
        <s v="TOTALAV.COM LOS"/>
        <s v="ROAD RUNNER"/>
        <s v="HAMPTON INNS"/>
        <s v="HYATT PLACE"/>
        <s v="METRA"/>
        <s v="GRAND BEAR"/>
        <s v="PRIME VIDEO"/>
        <s v="OUTBACK"/>
        <s v="LOGANS ROADHOUSE"/>
        <s v="TOMMYS RED"/>
        <s v="EL TACO FELIZ"/>
        <s v="BUC-EE'S"/>
        <s v="ELGIN PUBLIC HOUSE"/>
        <s v="LOU MALNATI'S - LAKE"/>
        <s v="PORTILLOS HOT"/>
        <s v="JAMBA JUICE - 0189 -"/>
        <s v="JULIE ANNS FROZEN C"/>
        <s v="CHRISOCONNOR"/>
        <s v="MLB*BREWERS TICKETS"/>
        <s v="ELEMENT MIAMI"/>
        <s v="NEAT KITCHEN &amp;amp; BAR O"/>
        <s v="ZOOT'S CAF"/>
        <s v="OZZIES DINER"/>
        <s v="CHRISTOPHERTIT"/>
        <s v="ALLIANZ TRAVEL"/>
        <s v="BBQ KING"/>
        <s v="Subway"/>
        <s v="KIRIN KING"/>
        <s v="AMC LAKE"/>
        <s v="EMBASSY RIVRSIDE"/>
        <s v="MID-AMERICA FESTIVALS"/>
        <s v="LIFELINES BY FIDELE"/>
        <s v="RUSTY NAIL"/>
        <s v="CTLP*MEDALLION MINT"/>
        <s v="DNCSS AM"/>
        <s v="COUNTRYDONUTS"/>
        <s v="NATIONAL ENTERTAINMENT"/>
        <s v="ROBSCHNEIDER"/>
        <s v="STAMP ICE"/>
        <s v="MY FUNNEL TRUCK LLC"/>
        <s v="TWIN PEAKS"/>
        <s v="BOOMERSBAS* BOOMERSBAS"/>
        <s v="DAIRY QUEEN"/>
        <s v="STAMPEDE PIRATE"/>
        <s v="IHOP"/>
        <s v="CRAZY CRAIGS"/>
        <s v="BINNYS BEV"/>
        <s v="OLIVE GARDEN"/>
        <s v="BRANSON DUCK TOU"/>
        <s v="WALNUT SPEAKEASY"/>
        <s v="SHEPERD OF THE HIL"/>
        <s v="STEVEO"/>
        <s v="BROTHERS' BBQ FOOD TR"/>
        <s v="KONA ICE OF MCHENRY C"/>
        <s v="CHICAGO DOGS I"/>
        <s v="FOX VALLEY WINERY"/>
        <s v="ART BAR"/>
        <s v="MILWAUKEE BREWERS"/>
        <s v="NETFLIX"/>
        <s v="AMC ONLINE"/>
        <s v="LAKEFRONT BREWERY MILWAUKEE WI"/>
        <s v="JOHN CRIST LIVE 800-653-8000 CA_x000a_CH1/59-52747"/>
        <s v="BRAD WILLIAMS 800-653-8000 CA"/>
      </sharedItems>
    </cacheField>
    <cacheField name="amount_abs" numFmtId="0">
      <sharedItems containsSemiMixedTypes="0" containsString="0" containsNumber="1" minValue="1.93" maxValue="6048"/>
    </cacheField>
    <cacheField name="year" numFmtId="0">
      <sharedItems containsSemiMixedTypes="0" containsString="0" containsNumber="1" containsInteger="1" minValue="2025" maxValue="2026"/>
    </cacheField>
    <cacheField name="month" numFmtId="0">
      <sharedItems containsSemiMixedTypes="0" containsString="0" containsNumber="1" containsInteger="1" minValue="1" maxValue="12"/>
    </cacheField>
    <cacheField name="year_month" numFmtId="0">
      <sharedItems/>
    </cacheField>
    <cacheField name="year_month_day" numFmtId="14">
      <sharedItems containsSemiMixedTypes="0" containsNonDate="0" containsDate="1" containsString="0" minDate="2025-05-02T00:00:00" maxDate="2026-04-01T00:00:00"/>
    </cacheField>
    <cacheField name="day_of_week" numFmtId="0">
      <sharedItems/>
    </cacheField>
    <cacheField name="transaction_type" numFmtId="0">
      <sharedItems count="2">
        <s v="Income"/>
        <s v="Expense"/>
      </sharedItems>
    </cacheField>
    <cacheField name="mandatory" numFmtId="0">
      <sharedItems count="2">
        <b v="1"/>
        <b v="0"/>
      </sharedItems>
    </cacheField>
    <cacheField name="id" numFmtId="0">
      <sharedItems containsSemiMixedTypes="0" containsString="0" containsNumber="1" containsInteger="1" minValue="2" maxValue="1823"/>
    </cacheField>
  </cacheFields>
  <extLst>
    <ext xmlns:x14="http://schemas.microsoft.com/office/spreadsheetml/2009/9/main" uri="{725AE2AE-9491-48be-B2B4-4EB974FC3084}">
      <x14:pivotCacheDefinition pivotCacheId="680717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1">
  <r>
    <d v="2026-02-21T00:00:00"/>
    <s v="AMAZON MKTPLACE PMTS AMZN.COM/BILLWA_x000a_QO6X63MNX2M"/>
    <x v="0"/>
    <s v="Return"/>
    <n v="-34.71"/>
    <x v="0"/>
    <n v="34.71"/>
    <n v="2026"/>
    <n v="2"/>
    <s v="2026-02"/>
    <d v="2026-02-21T00:00:00"/>
    <s v="Saturday "/>
    <x v="0"/>
    <x v="0"/>
    <n v="48"/>
  </r>
  <r>
    <d v="2026-02-19T00:00:00"/>
    <s v="AMAZON MKTPLACE PMTS AMZN.COM/BILLWA"/>
    <x v="0"/>
    <s v="Return"/>
    <n v="-6.9"/>
    <x v="0"/>
    <n v="6.9"/>
    <n v="2026"/>
    <n v="2"/>
    <s v="2026-02"/>
    <d v="2026-02-19T00:00:00"/>
    <s v="Thursday "/>
    <x v="0"/>
    <x v="0"/>
    <n v="50"/>
  </r>
  <r>
    <d v="2026-01-31T00:00:00"/>
    <s v="AMAZON MKTPLACE PMTS AMZN.COM/BILLWA"/>
    <x v="0"/>
    <s v="Return"/>
    <n v="-15.18"/>
    <x v="0"/>
    <n v="15.18"/>
    <n v="2026"/>
    <n v="1"/>
    <s v="2026-01"/>
    <d v="2026-01-31T00:00:00"/>
    <s v="Saturday "/>
    <x v="0"/>
    <x v="0"/>
    <n v="52"/>
  </r>
  <r>
    <d v="2026-01-31T00:00:00"/>
    <s v="AMAZON MKTPLACE PMTS AMZN.COM/BILLWA_x000a_2JPY221TR6E"/>
    <x v="0"/>
    <s v="Return"/>
    <n v="-21.69"/>
    <x v="0"/>
    <n v="21.69"/>
    <n v="2026"/>
    <n v="1"/>
    <s v="2026-01"/>
    <d v="2026-01-31T00:00:00"/>
    <s v="Saturday "/>
    <x v="0"/>
    <x v="0"/>
    <n v="53"/>
  </r>
  <r>
    <d v="2026-01-31T00:00:00"/>
    <s v="AMAZON MKTPLACE PMTS AMZN.COM/BILLWA_x000a_121VXY6Y8RN"/>
    <x v="0"/>
    <s v="Return"/>
    <n v="-29.28"/>
    <x v="0"/>
    <n v="29.28"/>
    <n v="2026"/>
    <n v="1"/>
    <s v="2026-01"/>
    <d v="2026-01-31T00:00:00"/>
    <s v="Saturday "/>
    <x v="0"/>
    <x v="0"/>
    <n v="54"/>
  </r>
  <r>
    <d v="2026-01-31T00:00:00"/>
    <s v="AMAZON MKTPLACE PMTS AMZN.COM/BILLWA"/>
    <x v="0"/>
    <s v="Return"/>
    <n v="-29.28"/>
    <x v="0"/>
    <n v="29.28"/>
    <n v="2026"/>
    <n v="1"/>
    <s v="2026-01"/>
    <d v="2026-01-31T00:00:00"/>
    <s v="Saturday "/>
    <x v="0"/>
    <x v="0"/>
    <n v="55"/>
  </r>
  <r>
    <d v="2026-01-31T00:00:00"/>
    <s v="AMAZON MKTPLACE PMTS AMZN.COM/BILLWA"/>
    <x v="0"/>
    <s v="Return"/>
    <n v="-37.96"/>
    <x v="0"/>
    <n v="37.96"/>
    <n v="2026"/>
    <n v="1"/>
    <s v="2026-01"/>
    <d v="2026-01-31T00:00:00"/>
    <s v="Saturday "/>
    <x v="0"/>
    <x v="0"/>
    <n v="56"/>
  </r>
  <r>
    <d v="2026-01-31T00:00:00"/>
    <s v="AMAZON MKTPLACE PMTS AMZN.COM/BILLWA_x000a_3LEL696P35R"/>
    <x v="0"/>
    <s v="Return"/>
    <n v="-39.049999999999997"/>
    <x v="0"/>
    <n v="39.049999999999997"/>
    <n v="2026"/>
    <n v="1"/>
    <s v="2026-01"/>
    <d v="2026-01-31T00:00:00"/>
    <s v="Saturday "/>
    <x v="0"/>
    <x v="0"/>
    <n v="57"/>
  </r>
  <r>
    <d v="2026-01-31T00:00:00"/>
    <s v="AMAZON MKTPLACE PMTS AMZN.COM/BILLWA_x000a_1NYSKBOQCO6"/>
    <x v="0"/>
    <s v="Return"/>
    <n v="-39.049999999999997"/>
    <x v="0"/>
    <n v="39.049999999999997"/>
    <n v="2026"/>
    <n v="1"/>
    <s v="2026-01"/>
    <d v="2026-01-31T00:00:00"/>
    <s v="Saturday "/>
    <x v="0"/>
    <x v="0"/>
    <n v="58"/>
  </r>
  <r>
    <d v="2026-01-31T00:00:00"/>
    <s v="AMAZON MKTPLACE PMTS AMZN.COM/BILLWA_x000a_6L7ME2O6V4W"/>
    <x v="0"/>
    <s v="Return"/>
    <n v="-41.22"/>
    <x v="0"/>
    <n v="41.22"/>
    <n v="2026"/>
    <n v="1"/>
    <s v="2026-01"/>
    <d v="2026-01-31T00:00:00"/>
    <s v="Saturday "/>
    <x v="0"/>
    <x v="0"/>
    <n v="59"/>
  </r>
  <r>
    <d v="2025-09-05T00:00:00"/>
    <s v="AMAZON MKTPLACE PMTS AMZN.COM/BILLWA"/>
    <x v="0"/>
    <s v="Return"/>
    <n v="-19.52"/>
    <x v="0"/>
    <n v="19.52"/>
    <n v="2025"/>
    <n v="9"/>
    <s v="2025-09"/>
    <d v="2025-09-05T00:00:00"/>
    <s v="Friday   "/>
    <x v="0"/>
    <x v="0"/>
    <n v="102"/>
  </r>
  <r>
    <d v="2025-09-05T00:00:00"/>
    <s v="AMAZON MKTPLACE PMTS AMZN.COM/BILLWA_x000a_1ZOAO1NSVL0"/>
    <x v="0"/>
    <s v="Return"/>
    <n v="-37.96"/>
    <x v="0"/>
    <n v="37.96"/>
    <n v="2025"/>
    <n v="9"/>
    <s v="2025-09"/>
    <d v="2025-09-05T00:00:00"/>
    <s v="Friday   "/>
    <x v="0"/>
    <x v="0"/>
    <n v="103"/>
  </r>
  <r>
    <d v="2025-06-12T00:00:00"/>
    <s v="AMAZON MKTPLACE PMTS AMZN.COM/BILLWA"/>
    <x v="0"/>
    <s v="Return"/>
    <n v="-10.84"/>
    <x v="0"/>
    <n v="10.84"/>
    <n v="2025"/>
    <n v="6"/>
    <s v="2025-06"/>
    <d v="2025-06-12T00:00:00"/>
    <s v="Thursday "/>
    <x v="0"/>
    <x v="0"/>
    <n v="112"/>
  </r>
  <r>
    <d v="2025-06-12T00:00:00"/>
    <s v="AMAZON MKTPLACE PMTS AMZN.COM/BILLWA"/>
    <x v="0"/>
    <s v="Return"/>
    <n v="-17.28"/>
    <x v="0"/>
    <n v="17.28"/>
    <n v="2025"/>
    <n v="6"/>
    <s v="2025-06"/>
    <d v="2025-06-12T00:00:00"/>
    <s v="Thursday "/>
    <x v="0"/>
    <x v="0"/>
    <n v="113"/>
  </r>
  <r>
    <d v="2026-02-02T00:00:00"/>
    <s v="LYFT   *RIDE SUN 10AM"/>
    <x v="1"/>
    <s v="Sale"/>
    <n v="21.6"/>
    <x v="1"/>
    <n v="21.6"/>
    <n v="2026"/>
    <n v="2"/>
    <s v="2026-02"/>
    <d v="2026-02-02T00:00:00"/>
    <s v="Monday   "/>
    <x v="1"/>
    <x v="0"/>
    <n v="136"/>
  </r>
  <r>
    <d v="2025-06-12T00:00:00"/>
    <s v="AMAZON MKTPLACE PMTS AMZN.COM/BILLWA"/>
    <x v="0"/>
    <s v="Return"/>
    <n v="-10.84"/>
    <x v="0"/>
    <n v="10.84"/>
    <n v="2025"/>
    <n v="6"/>
    <s v="2025-06"/>
    <d v="2025-06-12T00:00:00"/>
    <s v="Thursday "/>
    <x v="0"/>
    <x v="0"/>
    <n v="16"/>
  </r>
  <r>
    <d v="2026-02-22T00:00:00"/>
    <s v="AMAZON MKTPLACE PMTS AMZN.COM/BILLWA_x000a_43XZHOCU9NJ_x000a_4BHDVVW444N"/>
    <x v="0"/>
    <s v="Return"/>
    <n v="-21.64"/>
    <x v="0"/>
    <n v="21.64"/>
    <n v="2026"/>
    <n v="2"/>
    <s v="2026-02"/>
    <d v="2026-02-22T00:00:00"/>
    <s v="Sunday   "/>
    <x v="0"/>
    <x v="0"/>
    <n v="40"/>
  </r>
  <r>
    <d v="2026-02-22T00:00:00"/>
    <s v="AMAZON MKTPLACE PMTS AMZN.COM/BILLWA_x000a_5MGQ4LPMGCB"/>
    <x v="0"/>
    <s v="Return"/>
    <n v="-21.64"/>
    <x v="0"/>
    <n v="21.64"/>
    <n v="2026"/>
    <n v="2"/>
    <s v="2026-02"/>
    <d v="2026-02-22T00:00:00"/>
    <s v="Sunday   "/>
    <x v="0"/>
    <x v="0"/>
    <n v="41"/>
  </r>
  <r>
    <d v="2026-02-22T00:00:00"/>
    <s v="AMAZON MKTPLACE PMTS AMZN.COM/BILLWA_x000a_6SJCJQP2JIX"/>
    <x v="0"/>
    <s v="Return"/>
    <n v="-21.65"/>
    <x v="0"/>
    <n v="21.65"/>
    <n v="2026"/>
    <n v="2"/>
    <s v="2026-02"/>
    <d v="2026-02-22T00:00:00"/>
    <s v="Sunday   "/>
    <x v="0"/>
    <x v="0"/>
    <n v="42"/>
  </r>
  <r>
    <d v="2026-02-22T00:00:00"/>
    <s v="AMAZON MKTPLACE PMTS AMZN.COM/BILLWA_x000a_4Y94M2D2AP2"/>
    <x v="0"/>
    <s v="Return"/>
    <n v="-30.3"/>
    <x v="0"/>
    <n v="30.3"/>
    <n v="2026"/>
    <n v="2"/>
    <s v="2026-02"/>
    <d v="2026-02-22T00:00:00"/>
    <s v="Sunday   "/>
    <x v="0"/>
    <x v="0"/>
    <n v="43"/>
  </r>
  <r>
    <d v="2026-02-22T00:00:00"/>
    <s v="AMAZON MKTPLACE PMTS AMZN.COM/BILLWA_x000a_2TXM79YNPM4"/>
    <x v="0"/>
    <s v="Return"/>
    <n v="-30.3"/>
    <x v="0"/>
    <n v="30.3"/>
    <n v="2026"/>
    <n v="2"/>
    <s v="2026-02"/>
    <d v="2026-02-22T00:00:00"/>
    <s v="Sunday   "/>
    <x v="0"/>
    <x v="0"/>
    <n v="44"/>
  </r>
  <r>
    <d v="2026-02-21T00:00:00"/>
    <s v="AMAZON MKTPLACE PMTS AMZN.COM/BILLWA_x000a_75U6N6L2ZNG"/>
    <x v="0"/>
    <s v="Return"/>
    <n v="-20.6"/>
    <x v="0"/>
    <n v="20.6"/>
    <n v="2026"/>
    <n v="2"/>
    <s v="2026-02"/>
    <d v="2026-02-21T00:00:00"/>
    <s v="Saturday "/>
    <x v="0"/>
    <x v="0"/>
    <n v="45"/>
  </r>
  <r>
    <d v="2026-03-20T00:00:00"/>
    <s v="AMAZON PRIME*NF6020AZ3 AMZN.COM/BILLWA_x000a_485JV79ZLYV"/>
    <x v="0"/>
    <s v="Sale"/>
    <n v="14.99"/>
    <x v="0"/>
    <n v="14.99"/>
    <n v="2026"/>
    <n v="3"/>
    <s v="2026-03"/>
    <d v="2026-03-20T00:00:00"/>
    <s v="Friday   "/>
    <x v="1"/>
    <x v="0"/>
    <n v="2"/>
  </r>
  <r>
    <d v="2026-01-20T00:00:00"/>
    <s v="AMAZON PRIME*F49V37Y73 AMZN.COM/BILLWA_x000a_14NSTGQHEA9"/>
    <x v="0"/>
    <s v="Sale"/>
    <n v="14.99"/>
    <x v="0"/>
    <n v="14.99"/>
    <n v="2026"/>
    <n v="1"/>
    <s v="2026-01"/>
    <d v="2026-01-20T00:00:00"/>
    <s v="Tuesday  "/>
    <x v="1"/>
    <x v="0"/>
    <n v="3"/>
  </r>
  <r>
    <d v="2026-01-19T00:00:00"/>
    <s v="AMAZON MKTPL*9K2ZM4603 AMZN.COM/BILLWA"/>
    <x v="0"/>
    <s v="Sale"/>
    <n v="64.36"/>
    <x v="0"/>
    <n v="64.36"/>
    <n v="2026"/>
    <n v="1"/>
    <s v="2026-01"/>
    <d v="2026-01-19T00:00:00"/>
    <s v="Monday   "/>
    <x v="1"/>
    <x v="0"/>
    <n v="4"/>
  </r>
  <r>
    <d v="2026-01-18T00:00:00"/>
    <s v="AMAZON MKTPL*DO0VJ4WD3 AMZN.COM/BILLWA_x000a_FUEVESVYVFK"/>
    <x v="0"/>
    <s v="Sale"/>
    <n v="383.99"/>
    <x v="0"/>
    <n v="383.99"/>
    <n v="2026"/>
    <n v="1"/>
    <s v="2026-01"/>
    <d v="2026-01-18T00:00:00"/>
    <s v="Sunday   "/>
    <x v="1"/>
    <x v="0"/>
    <n v="5"/>
  </r>
  <r>
    <d v="2026-02-21T00:00:00"/>
    <s v="AMAZON MKTPLACE PMTS AMZN.COM/BILLWA_x000a_76ARMB9DS9X"/>
    <x v="0"/>
    <s v="Return"/>
    <n v="-27.28"/>
    <x v="0"/>
    <n v="27.28"/>
    <n v="2026"/>
    <n v="2"/>
    <s v="2026-02"/>
    <d v="2026-02-21T00:00:00"/>
    <s v="Saturday "/>
    <x v="0"/>
    <x v="0"/>
    <n v="46"/>
  </r>
  <r>
    <d v="2026-01-16T00:00:00"/>
    <s v="AMAZON MKTPL*BQ2U37NM3 AMZN.COM/BILLWA_x000a_6A2VL2OUDID"/>
    <x v="0"/>
    <s v="Sale"/>
    <n v="25.96"/>
    <x v="0"/>
    <n v="25.96"/>
    <n v="2026"/>
    <n v="1"/>
    <s v="2026-01"/>
    <d v="2026-01-16T00:00:00"/>
    <s v="Friday   "/>
    <x v="1"/>
    <x v="0"/>
    <n v="7"/>
  </r>
  <r>
    <d v="2025-09-25T00:00:00"/>
    <s v="AMAZON KIDS *TC3Q94NX3 888-802-3080 WA"/>
    <x v="0"/>
    <s v="Sale"/>
    <n v="5.99"/>
    <x v="0"/>
    <n v="5.99"/>
    <n v="2025"/>
    <n v="9"/>
    <s v="2025-09"/>
    <d v="2025-09-25T00:00:00"/>
    <s v="Thursday "/>
    <x v="1"/>
    <x v="0"/>
    <n v="8"/>
  </r>
  <r>
    <d v="2025-10-22T00:00:00"/>
    <s v="AMAZON PRIME*VZ4JV6JC3 AMZN.COM/BILLWA_x000a_20ZCHIQIBML"/>
    <x v="0"/>
    <s v="Sale"/>
    <n v="14.99"/>
    <x v="0"/>
    <n v="14.99"/>
    <n v="2025"/>
    <n v="10"/>
    <s v="2025-10"/>
    <d v="2025-10-22T00:00:00"/>
    <s v="Wednesday"/>
    <x v="1"/>
    <x v="0"/>
    <n v="9"/>
  </r>
  <r>
    <d v="2025-10-20T00:00:00"/>
    <s v="AMAZON MKTPL*NU55V50G1 AMZN.COM/BILLWA_x000a_2G0VTF85NBJ"/>
    <x v="0"/>
    <s v="Sale"/>
    <n v="24.38"/>
    <x v="0"/>
    <n v="24.38"/>
    <n v="2025"/>
    <n v="10"/>
    <s v="2025-10"/>
    <d v="2025-10-20T00:00:00"/>
    <s v="Monday   "/>
    <x v="1"/>
    <x v="0"/>
    <n v="10"/>
  </r>
  <r>
    <d v="2025-10-20T00:00:00"/>
    <s v="AMAZON MKTPL*NM1EU7SB2 AMZN.COM/BILLWA_x000a_35RGO7N704N"/>
    <x v="0"/>
    <s v="Sale"/>
    <n v="20.6"/>
    <x v="0"/>
    <n v="20.6"/>
    <n v="2025"/>
    <n v="10"/>
    <s v="2025-10"/>
    <d v="2025-10-20T00:00:00"/>
    <s v="Monday   "/>
    <x v="1"/>
    <x v="0"/>
    <n v="11"/>
  </r>
  <r>
    <d v="2025-10-06T00:00:00"/>
    <s v="AMAZON.COM*NV77D6BF1 AMZN.COM/BILLWA_x000a_304CCP7SB59"/>
    <x v="0"/>
    <s v="Sale"/>
    <n v="13.01"/>
    <x v="0"/>
    <n v="13.01"/>
    <n v="2025"/>
    <n v="10"/>
    <s v="2025-10"/>
    <d v="2025-10-06T00:00:00"/>
    <s v="Monday   "/>
    <x v="1"/>
    <x v="0"/>
    <n v="12"/>
  </r>
  <r>
    <d v="2025-09-23T00:00:00"/>
    <s v="AMAZON MKTPL*EG6SV8VW3 AMZN.COM/BILLWA"/>
    <x v="0"/>
    <s v="Sale"/>
    <n v="6.5"/>
    <x v="0"/>
    <n v="6.5"/>
    <n v="2025"/>
    <n v="9"/>
    <s v="2025-09"/>
    <d v="2025-09-23T00:00:00"/>
    <s v="Tuesday  "/>
    <x v="1"/>
    <x v="0"/>
    <n v="13"/>
  </r>
  <r>
    <d v="2025-06-25T00:00:00"/>
    <s v="AMAZON KIDS *NQ9SW6NA1 888-802-3080 WA_x000a_2V1S19DZVPC"/>
    <x v="0"/>
    <s v="Sale"/>
    <n v="5.99"/>
    <x v="0"/>
    <n v="5.99"/>
    <n v="2025"/>
    <n v="6"/>
    <s v="2025-06"/>
    <d v="2025-06-25T00:00:00"/>
    <s v="Wednesday"/>
    <x v="1"/>
    <x v="0"/>
    <n v="14"/>
  </r>
  <r>
    <d v="2025-06-20T00:00:00"/>
    <s v="AMAZON PRIME*NO98460T1 AMZN.COM/BILLWA_x000a_SEE DETAILS OF YOUR NEXT DIRECTPAY BELOW"/>
    <x v="0"/>
    <s v="Sale"/>
    <n v="14.99"/>
    <x v="0"/>
    <n v="14.99"/>
    <n v="2025"/>
    <n v="6"/>
    <s v="2025-06"/>
    <d v="2025-06-20T00:00:00"/>
    <s v="Friday   "/>
    <x v="1"/>
    <x v="0"/>
    <n v="15"/>
  </r>
  <r>
    <d v="2025-12-25T00:00:00"/>
    <s v="AMAZON KIDS *YS1FG7933 888-802-3080 WA_x000a_IREO8X09KLV"/>
    <x v="0"/>
    <s v="Sale"/>
    <n v="5.99"/>
    <x v="0"/>
    <n v="5.99"/>
    <n v="2025"/>
    <n v="12"/>
    <s v="2025-12"/>
    <d v="2025-12-25T00:00:00"/>
    <s v="Thursday "/>
    <x v="1"/>
    <x v="0"/>
    <n v="27"/>
  </r>
  <r>
    <d v="2025-11-25T00:00:00"/>
    <s v="AMAZON KIDS *B28K91BU1 888-802-3080 WA_x000a_6PY4KX3BVPR"/>
    <x v="0"/>
    <s v="Sale"/>
    <n v="5.99"/>
    <x v="0"/>
    <n v="5.99"/>
    <n v="2025"/>
    <n v="11"/>
    <s v="2025-11"/>
    <d v="2025-11-25T00:00:00"/>
    <s v="Tuesday  "/>
    <x v="1"/>
    <x v="0"/>
    <n v="28"/>
  </r>
  <r>
    <d v="2025-10-25T00:00:00"/>
    <s v="AMAZON KIDS *N41VY81B0 888-802-3080 WA_x000a_LJ2F1SQU5S4"/>
    <x v="0"/>
    <s v="Sale"/>
    <n v="5.99"/>
    <x v="0"/>
    <n v="5.99"/>
    <n v="2025"/>
    <n v="10"/>
    <s v="2025-10"/>
    <d v="2025-10-25T00:00:00"/>
    <s v="Saturday "/>
    <x v="1"/>
    <x v="0"/>
    <n v="29"/>
  </r>
  <r>
    <d v="2025-08-25T00:00:00"/>
    <s v="AMAZON KIDS *W93HS6QA3 888-802-3080 WA_x000a_6ARKQ6X5C8X"/>
    <x v="0"/>
    <s v="Sale"/>
    <n v="5.99"/>
    <x v="0"/>
    <n v="5.99"/>
    <n v="2025"/>
    <n v="8"/>
    <s v="2025-08"/>
    <d v="2025-08-25T00:00:00"/>
    <s v="Monday   "/>
    <x v="1"/>
    <x v="0"/>
    <n v="30"/>
  </r>
  <r>
    <d v="2025-07-25T00:00:00"/>
    <s v="AMAZON KIDS *1842U7UL3 888-802-3080 WA_x000a_P7TO40UI5IP"/>
    <x v="0"/>
    <s v="Sale"/>
    <n v="5.99"/>
    <x v="0"/>
    <n v="5.99"/>
    <n v="2025"/>
    <n v="7"/>
    <s v="2025-07"/>
    <d v="2025-07-25T00:00:00"/>
    <s v="Friday   "/>
    <x v="1"/>
    <x v="0"/>
    <n v="31"/>
  </r>
  <r>
    <d v="2025-05-25T00:00:00"/>
    <s v="AMAZON KIDS *NZ40I02E0 888-802-3080 WA_x000a_243AL812R8E"/>
    <x v="0"/>
    <s v="Sale"/>
    <n v="5.99"/>
    <x v="0"/>
    <n v="5.99"/>
    <n v="2025"/>
    <n v="5"/>
    <s v="2025-05"/>
    <d v="2025-05-25T00:00:00"/>
    <s v="Sunday   "/>
    <x v="1"/>
    <x v="0"/>
    <n v="32"/>
  </r>
  <r>
    <d v="2026-03-09T00:00:00"/>
    <s v="AMAZON MKTPL*BE3FQ7SW0 AMZN.COM/BILLWA_x000a_2A57JXCJZST"/>
    <x v="0"/>
    <s v="Sale"/>
    <n v="10.84"/>
    <x v="0"/>
    <n v="10.84"/>
    <n v="2026"/>
    <n v="3"/>
    <s v="2026-03"/>
    <d v="2026-03-09T00:00:00"/>
    <s v="Monday   "/>
    <x v="1"/>
    <x v="0"/>
    <n v="36"/>
  </r>
  <r>
    <d v="2026-03-01T00:00:00"/>
    <s v="AMAZON MKTPL*B94L53VP0 AMZN.COM/BILLWA"/>
    <x v="0"/>
    <s v="Sale"/>
    <n v="18.309999999999999"/>
    <x v="0"/>
    <n v="18.309999999999999"/>
    <n v="2026"/>
    <n v="3"/>
    <s v="2026-03"/>
    <d v="2026-03-01T00:00:00"/>
    <s v="Sunday   "/>
    <x v="1"/>
    <x v="0"/>
    <n v="37"/>
  </r>
  <r>
    <d v="2026-03-01T00:00:00"/>
    <s v="AMAZON MKTPL*B934K75S0 AMZN.COM/BILLWA_x000a_2990TTHWW4N"/>
    <x v="0"/>
    <s v="Sale"/>
    <n v="7.58"/>
    <x v="0"/>
    <n v="7.58"/>
    <n v="2026"/>
    <n v="3"/>
    <s v="2026-03"/>
    <d v="2026-03-01T00:00:00"/>
    <s v="Sunday   "/>
    <x v="1"/>
    <x v="0"/>
    <n v="38"/>
  </r>
  <r>
    <d v="2026-02-25T00:00:00"/>
    <s v="AMAZON MKTPL*XY0A00ZA3 AMZN.COM/BILLWA_x000a_4YBXR5B2TD2"/>
    <x v="0"/>
    <s v="Sale"/>
    <n v="18.32"/>
    <x v="0"/>
    <n v="18.32"/>
    <n v="2026"/>
    <n v="2"/>
    <s v="2026-02"/>
    <d v="2026-02-25T00:00:00"/>
    <s v="Wednesday"/>
    <x v="1"/>
    <x v="0"/>
    <n v="39"/>
  </r>
  <r>
    <d v="2026-02-20T00:00:00"/>
    <s v="AMAZON PRIME*008XT9L73 AMZN.COM/BILLWA"/>
    <x v="0"/>
    <s v="Sale"/>
    <n v="14.99"/>
    <x v="0"/>
    <n v="14.99"/>
    <n v="2026"/>
    <n v="2"/>
    <s v="2026-02"/>
    <d v="2026-02-20T00:00:00"/>
    <s v="Friday   "/>
    <x v="1"/>
    <x v="0"/>
    <n v="49"/>
  </r>
  <r>
    <d v="2026-01-31T00:00:00"/>
    <s v="AMAZON MKTPL*AV19N8GQ3 AMZN.COM/BILLWA_x000a_2QJLM9V0B0K"/>
    <x v="0"/>
    <s v="Sale"/>
    <n v="13.01"/>
    <x v="0"/>
    <n v="13.01"/>
    <n v="2026"/>
    <n v="1"/>
    <s v="2026-01"/>
    <d v="2026-01-31T00:00:00"/>
    <s v="Saturday "/>
    <x v="1"/>
    <x v="0"/>
    <n v="51"/>
  </r>
  <r>
    <d v="2026-01-30T00:00:00"/>
    <s v="AMAZON MKTPL*SA0MQ4SK3 AMZN.COM/BILLWA_x000a_4HHXHO8YCMW_x000a_4APK8975N86"/>
    <x v="0"/>
    <s v="Sale"/>
    <n v="203.83"/>
    <x v="0"/>
    <n v="203.83"/>
    <n v="2026"/>
    <n v="1"/>
    <s v="2026-01"/>
    <d v="2026-01-30T00:00:00"/>
    <s v="Friday   "/>
    <x v="1"/>
    <x v="0"/>
    <n v="60"/>
  </r>
  <r>
    <d v="2026-01-30T00:00:00"/>
    <s v="AMAZON MKTPL*591WM6JH3 AMZN.COM/BILLWA"/>
    <x v="0"/>
    <s v="Sale"/>
    <n v="76.88"/>
    <x v="0"/>
    <n v="76.88"/>
    <n v="2026"/>
    <n v="1"/>
    <s v="2026-01"/>
    <d v="2026-01-30T00:00:00"/>
    <s v="Friday   "/>
    <x v="1"/>
    <x v="0"/>
    <n v="61"/>
  </r>
  <r>
    <d v="2025-09-21T00:00:00"/>
    <s v="DOLLARTREE"/>
    <x v="0"/>
    <s v="Sale"/>
    <n v="13.53"/>
    <x v="2"/>
    <n v="13.53"/>
    <n v="2025"/>
    <n v="9"/>
    <s v="2025-09"/>
    <d v="2025-09-21T00:00:00"/>
    <s v="Sunday   "/>
    <x v="1"/>
    <x v="0"/>
    <n v="269"/>
  </r>
  <r>
    <d v="2026-02-21T00:00:00"/>
    <s v="AMAZON MKTPLACE PMTS AMZN.COM/BILLWA_x000a_FGK99TICJPQ"/>
    <x v="0"/>
    <s v="Return"/>
    <n v="-29.35"/>
    <x v="0"/>
    <n v="29.35"/>
    <n v="2026"/>
    <n v="2"/>
    <s v="2026-02"/>
    <d v="2026-02-21T00:00:00"/>
    <s v="Saturday "/>
    <x v="0"/>
    <x v="0"/>
    <n v="47"/>
  </r>
  <r>
    <d v="2026-01-30T00:00:00"/>
    <s v="AMAZON MKTPLACE PMTS AMZN.COM/BILLWA_x000a_3O08T6TRTMH"/>
    <x v="0"/>
    <s v="Return"/>
    <n v="-17.510000000000002"/>
    <x v="0"/>
    <n v="17.510000000000002"/>
    <n v="2026"/>
    <n v="1"/>
    <s v="2026-01"/>
    <d v="2026-01-30T00:00:00"/>
    <s v="Friday   "/>
    <x v="0"/>
    <x v="0"/>
    <n v="64"/>
  </r>
  <r>
    <d v="2026-01-30T00:00:00"/>
    <s v="AMAZON MKTPLACE PMTS AMZN.COM/BILLWA_x000a_5432ALUZC40"/>
    <x v="0"/>
    <s v="Return"/>
    <n v="-21.66"/>
    <x v="0"/>
    <n v="21.66"/>
    <n v="2026"/>
    <n v="1"/>
    <s v="2026-01"/>
    <d v="2026-01-30T00:00:00"/>
    <s v="Friday   "/>
    <x v="0"/>
    <x v="0"/>
    <n v="65"/>
  </r>
  <r>
    <d v="2026-01-30T00:00:00"/>
    <s v="AMAZON MKTPLACE PMTS AMZN.COM/BILLWA_x000a_70J1WOX07IO"/>
    <x v="0"/>
    <s v="Return"/>
    <n v="-36.119999999999997"/>
    <x v="0"/>
    <n v="36.119999999999997"/>
    <n v="2026"/>
    <n v="1"/>
    <s v="2026-01"/>
    <d v="2026-01-30T00:00:00"/>
    <s v="Friday   "/>
    <x v="0"/>
    <x v="0"/>
    <n v="66"/>
  </r>
  <r>
    <d v="2026-01-30T00:00:00"/>
    <s v="AMAZON MKTPLACE PMTS AMZN.COM/BILLWA_x000a_SEE DETAILS OF YOUR NEXT DIRECTPAY BELOW"/>
    <x v="0"/>
    <s v="Return"/>
    <n v="-39.049999999999997"/>
    <x v="0"/>
    <n v="39.049999999999997"/>
    <n v="2026"/>
    <n v="1"/>
    <s v="2026-01"/>
    <d v="2026-01-30T00:00:00"/>
    <s v="Friday   "/>
    <x v="0"/>
    <x v="0"/>
    <n v="67"/>
  </r>
  <r>
    <d v="2026-01-15T00:00:00"/>
    <s v="AMAZON.COM AMZN.COM/BILLWA"/>
    <x v="0"/>
    <s v="Return"/>
    <n v="-11.84"/>
    <x v="0"/>
    <n v="11.84"/>
    <n v="2026"/>
    <n v="1"/>
    <s v="2026-01"/>
    <d v="2026-01-15T00:00:00"/>
    <s v="Thursday "/>
    <x v="0"/>
    <x v="0"/>
    <n v="71"/>
  </r>
  <r>
    <d v="2025-12-31T00:00:00"/>
    <s v="AMAZON.COM AMZN.COM/BILLWA_x000a_19UYPBHDDZM"/>
    <x v="0"/>
    <s v="Return"/>
    <n v="-14.11"/>
    <x v="0"/>
    <n v="14.11"/>
    <n v="2025"/>
    <n v="12"/>
    <s v="2025-12"/>
    <d v="2025-12-31T00:00:00"/>
    <s v="Wednesday"/>
    <x v="0"/>
    <x v="0"/>
    <n v="75"/>
  </r>
  <r>
    <d v="2025-12-31T00:00:00"/>
    <s v="AMAZON.COM AMZN.COM/BILLWA_x000a_22AO17P94HP"/>
    <x v="0"/>
    <s v="Return"/>
    <n v="-14.37"/>
    <x v="0"/>
    <n v="14.37"/>
    <n v="2025"/>
    <n v="12"/>
    <s v="2025-12"/>
    <d v="2025-12-31T00:00:00"/>
    <s v="Wednesday"/>
    <x v="0"/>
    <x v="0"/>
    <n v="76"/>
  </r>
  <r>
    <d v="2025-11-01T00:00:00"/>
    <s v="AMAZON.COM AMZN.COM/BILLWA_x000a_3V15FLY363L"/>
    <x v="0"/>
    <s v="Return"/>
    <n v="-11.84"/>
    <x v="0"/>
    <n v="11.84"/>
    <n v="2025"/>
    <n v="11"/>
    <s v="2025-11"/>
    <d v="2025-11-01T00:00:00"/>
    <s v="Saturday "/>
    <x v="0"/>
    <x v="0"/>
    <n v="86"/>
  </r>
  <r>
    <d v="2025-11-01T00:00:00"/>
    <s v="AMAZON MKTPLACE PMTS AMZN.COM/BILLWA_x000a_1TRKSSNCD6N"/>
    <x v="0"/>
    <s v="Return"/>
    <n v="-29.28"/>
    <x v="0"/>
    <n v="29.28"/>
    <n v="2025"/>
    <n v="11"/>
    <s v="2025-11"/>
    <d v="2025-11-01T00:00:00"/>
    <s v="Saturday "/>
    <x v="0"/>
    <x v="0"/>
    <n v="87"/>
  </r>
  <r>
    <d v="2025-11-01T00:00:00"/>
    <s v="AMAZON.COM AMZN.COM/BILLWA_x000a_4UD150Y3XBN"/>
    <x v="0"/>
    <s v="Return"/>
    <n v="-31.45"/>
    <x v="0"/>
    <n v="31.45"/>
    <n v="2025"/>
    <n v="11"/>
    <s v="2025-11"/>
    <d v="2025-11-01T00:00:00"/>
    <s v="Saturday "/>
    <x v="0"/>
    <x v="0"/>
    <n v="88"/>
  </r>
  <r>
    <d v="2025-11-01T00:00:00"/>
    <s v="AMAZON MKTPLACE PMTS AMZN.COM/BILLWA_x000a_6EVGOQLTLVW"/>
    <x v="0"/>
    <s v="Return"/>
    <n v="-41.2"/>
    <x v="0"/>
    <n v="41.2"/>
    <n v="2025"/>
    <n v="11"/>
    <s v="2025-11"/>
    <d v="2025-11-01T00:00:00"/>
    <s v="Saturday "/>
    <x v="0"/>
    <x v="0"/>
    <n v="89"/>
  </r>
  <r>
    <d v="2025-11-01T00:00:00"/>
    <s v="AMAZON MKTPLACE PMTS AMZN.COM/BILLWA_x000a_7AO8SZK052J"/>
    <x v="0"/>
    <s v="Return"/>
    <n v="-56.4"/>
    <x v="0"/>
    <n v="56.4"/>
    <n v="2025"/>
    <n v="11"/>
    <s v="2025-11"/>
    <d v="2025-11-01T00:00:00"/>
    <s v="Saturday "/>
    <x v="0"/>
    <x v="0"/>
    <n v="90"/>
  </r>
  <r>
    <d v="2025-11-01T00:00:00"/>
    <s v="AMAZON MKTPLACE PMTS AMZN.COM/BILLWA_x000a_272V6KTOQIB"/>
    <x v="0"/>
    <s v="Return"/>
    <n v="-66.28"/>
    <x v="0"/>
    <n v="66.28"/>
    <n v="2025"/>
    <n v="11"/>
    <s v="2025-11"/>
    <d v="2025-11-01T00:00:00"/>
    <s v="Saturday "/>
    <x v="0"/>
    <x v="0"/>
    <n v="91"/>
  </r>
  <r>
    <d v="2025-11-01T00:00:00"/>
    <s v="AMAZON MKTPLACE PMTS AMZN.COM/BILLWA_x000a_3TX1LL0WRGX"/>
    <x v="0"/>
    <s v="Return"/>
    <n v="-70.569999999999993"/>
    <x v="0"/>
    <n v="70.569999999999993"/>
    <n v="2025"/>
    <n v="11"/>
    <s v="2025-11"/>
    <d v="2025-11-01T00:00:00"/>
    <s v="Saturday "/>
    <x v="0"/>
    <x v="0"/>
    <n v="92"/>
  </r>
  <r>
    <d v="2026-01-30T00:00:00"/>
    <s v="AMAZON MKTPL*VI63X9VX3 AMZN.COM/BILLWA_x000a_40ZJMDPXG39"/>
    <x v="0"/>
    <s v="Sale"/>
    <n v="19.52"/>
    <x v="0"/>
    <n v="19.52"/>
    <n v="2026"/>
    <n v="1"/>
    <s v="2026-01"/>
    <d v="2026-01-30T00:00:00"/>
    <s v="Friday   "/>
    <x v="1"/>
    <x v="0"/>
    <n v="62"/>
  </r>
  <r>
    <d v="2026-01-30T00:00:00"/>
    <s v="AMAZON MKTPL*CC94K2OZ3 AMZN.COM/BILLWA_x000a_3PLOGD5QXX5"/>
    <x v="0"/>
    <s v="Sale"/>
    <n v="8.4600000000000009"/>
    <x v="0"/>
    <n v="8.4600000000000009"/>
    <n v="2026"/>
    <n v="1"/>
    <s v="2026-01"/>
    <d v="2026-01-30T00:00:00"/>
    <s v="Friday   "/>
    <x v="1"/>
    <x v="0"/>
    <n v="63"/>
  </r>
  <r>
    <d v="2026-02-12T00:00:00"/>
    <s v="DOLLARTREE"/>
    <x v="0"/>
    <s v="Sale"/>
    <n v="57.96"/>
    <x v="2"/>
    <n v="57.96"/>
    <n v="2026"/>
    <n v="2"/>
    <s v="2026-02"/>
    <d v="2026-02-12T00:00:00"/>
    <s v="Thursday "/>
    <x v="1"/>
    <x v="0"/>
    <n v="68"/>
  </r>
  <r>
    <d v="2026-01-27T00:00:00"/>
    <s v="AMAZON MKTPL*F27JJ3Z73 AMZN.COM/BILLWA"/>
    <x v="0"/>
    <s v="Sale"/>
    <n v="8.2100000000000009"/>
    <x v="0"/>
    <n v="8.2100000000000009"/>
    <n v="2026"/>
    <n v="1"/>
    <s v="2026-01"/>
    <d v="2026-01-27T00:00:00"/>
    <s v="Tuesday  "/>
    <x v="1"/>
    <x v="0"/>
    <n v="69"/>
  </r>
  <r>
    <d v="2026-01-26T00:00:00"/>
    <s v="AMAZON MKTPL*O01HJ8PW3 AMZN.COM/BILLWA_x000a_6RLVT86RI8B"/>
    <x v="0"/>
    <s v="Sale"/>
    <n v="220.66"/>
    <x v="0"/>
    <n v="220.66"/>
    <n v="2026"/>
    <n v="1"/>
    <s v="2026-01"/>
    <d v="2026-01-26T00:00:00"/>
    <s v="Monday   "/>
    <x v="1"/>
    <x v="0"/>
    <n v="70"/>
  </r>
  <r>
    <d v="2026-01-14T00:00:00"/>
    <s v="AMAZON.COM*NC5VK3JK3 AMZN.COM/BILLWA_x000a_4Y0PGA2P8MK"/>
    <x v="0"/>
    <s v="Sale"/>
    <n v="11.84"/>
    <x v="0"/>
    <n v="11.84"/>
    <n v="2026"/>
    <n v="1"/>
    <s v="2026-01"/>
    <d v="2026-01-14T00:00:00"/>
    <s v="Wednesday"/>
    <x v="1"/>
    <x v="0"/>
    <n v="72"/>
  </r>
  <r>
    <d v="2026-01-10T00:00:00"/>
    <s v="AMAZON MKTPL*VI7VQ6XC3 AMZN.COM/BILLWA_x000a_1DSXLR41057_x000a_3AXQ9019K3P_x000a_6PB9WDNYGZ5"/>
    <x v="0"/>
    <s v="Sale"/>
    <n v="8.1300000000000008"/>
    <x v="0"/>
    <n v="8.1300000000000008"/>
    <n v="2026"/>
    <n v="1"/>
    <s v="2026-01"/>
    <d v="2026-01-10T00:00:00"/>
    <s v="Saturday "/>
    <x v="1"/>
    <x v="0"/>
    <n v="73"/>
  </r>
  <r>
    <d v="2026-01-09T00:00:00"/>
    <s v="AMAZON MKTPL*HS4W709G3 AMZN.COM/BILLWA_x000a_6ZWDQA35ZSM_x000a_75NB6D507KA"/>
    <x v="0"/>
    <s v="Sale"/>
    <n v="67.31"/>
    <x v="0"/>
    <n v="67.31"/>
    <n v="2026"/>
    <n v="1"/>
    <s v="2026-01"/>
    <d v="2026-01-09T00:00:00"/>
    <s v="Friday   "/>
    <x v="1"/>
    <x v="0"/>
    <n v="74"/>
  </r>
  <r>
    <d v="2025-12-22T00:00:00"/>
    <s v="AMAZON.COM*BW3RY6NT3 AMZN.COM/BILLWA_x000a_13VU1L840G9"/>
    <x v="0"/>
    <s v="Sale"/>
    <n v="13.5"/>
    <x v="0"/>
    <n v="13.5"/>
    <n v="2025"/>
    <n v="12"/>
    <s v="2025-12"/>
    <d v="2025-12-22T00:00:00"/>
    <s v="Monday   "/>
    <x v="1"/>
    <x v="0"/>
    <n v="77"/>
  </r>
  <r>
    <d v="2025-12-21T00:00:00"/>
    <s v="AMAZON MKTPL*UJ3O584K3 AMZN.COM/BILLWA_x000a_3E0MO6TM9N2"/>
    <x v="0"/>
    <s v="Sale"/>
    <n v="27.11"/>
    <x v="0"/>
    <n v="27.11"/>
    <n v="2025"/>
    <n v="12"/>
    <s v="2025-12"/>
    <d v="2025-12-21T00:00:00"/>
    <s v="Sunday   "/>
    <x v="1"/>
    <x v="0"/>
    <n v="78"/>
  </r>
  <r>
    <d v="2025-12-20T00:00:00"/>
    <s v="AMAZON PRIME*1F18Q1W33 AMZN.COM/BILLWA_x000a_1WNVY8M4QYB"/>
    <x v="0"/>
    <s v="Sale"/>
    <n v="14.99"/>
    <x v="0"/>
    <n v="14.99"/>
    <n v="2025"/>
    <n v="12"/>
    <s v="2025-12"/>
    <d v="2025-12-20T00:00:00"/>
    <s v="Saturday "/>
    <x v="1"/>
    <x v="0"/>
    <n v="79"/>
  </r>
  <r>
    <d v="2025-12-06T00:00:00"/>
    <s v="AMAZON MKTPL*BI4BC41Y0 AMZN.COM/BILLWA_x000a_78P2EY9TO16"/>
    <x v="0"/>
    <s v="Sale"/>
    <n v="154.6"/>
    <x v="0"/>
    <n v="154.6"/>
    <n v="2025"/>
    <n v="12"/>
    <s v="2025-12"/>
    <d v="2025-12-06T00:00:00"/>
    <s v="Saturday "/>
    <x v="1"/>
    <x v="0"/>
    <n v="80"/>
  </r>
  <r>
    <d v="2025-12-06T00:00:00"/>
    <s v="AMAZON.COM*BI1W99PA0 AMZN.COM/BILLWA_x000a_6NPQA6PJQY2"/>
    <x v="0"/>
    <s v="Sale"/>
    <n v="28.22"/>
    <x v="0"/>
    <n v="28.22"/>
    <n v="2025"/>
    <n v="12"/>
    <s v="2025-12"/>
    <d v="2025-12-06T00:00:00"/>
    <s v="Saturday "/>
    <x v="1"/>
    <x v="0"/>
    <n v="81"/>
  </r>
  <r>
    <d v="2025-12-06T00:00:00"/>
    <s v="AMAZON.COM*BI1XI68R1 AMZN.COM/BILLWA_x000a_1DYIAINBVA9"/>
    <x v="0"/>
    <s v="Sale"/>
    <n v="10.68"/>
    <x v="0"/>
    <n v="10.68"/>
    <n v="2025"/>
    <n v="12"/>
    <s v="2025-12"/>
    <d v="2025-12-06T00:00:00"/>
    <s v="Saturday "/>
    <x v="1"/>
    <x v="0"/>
    <n v="82"/>
  </r>
  <r>
    <d v="2025-12-06T00:00:00"/>
    <s v="AMAZON MKTPL*BI36J0VT0 AMZN.COM/BILLWA_x000a_17Q9PV3KWS7"/>
    <x v="0"/>
    <s v="Sale"/>
    <n v="8.67"/>
    <x v="0"/>
    <n v="8.67"/>
    <n v="2025"/>
    <n v="12"/>
    <s v="2025-12"/>
    <d v="2025-12-06T00:00:00"/>
    <s v="Saturday "/>
    <x v="1"/>
    <x v="0"/>
    <n v="83"/>
  </r>
  <r>
    <d v="2025-11-24T00:00:00"/>
    <s v="AMAZON.COM*B20XK0NN0 AMZN.COM/BILLWA_x000a_6RNFA6XGV9B"/>
    <x v="0"/>
    <s v="Sale"/>
    <n v="14.37"/>
    <x v="0"/>
    <n v="14.37"/>
    <n v="2025"/>
    <n v="11"/>
    <s v="2025-11"/>
    <d v="2025-11-24T00:00:00"/>
    <s v="Monday   "/>
    <x v="1"/>
    <x v="0"/>
    <n v="84"/>
  </r>
  <r>
    <d v="2025-11-20T00:00:00"/>
    <s v="AMAZON PRIME*VR77R5RY3 AMZN.COM/BILLWA_x000a_4YW94EWCZIK"/>
    <x v="0"/>
    <s v="Sale"/>
    <n v="14.99"/>
    <x v="0"/>
    <n v="14.99"/>
    <n v="2025"/>
    <n v="11"/>
    <s v="2025-11"/>
    <d v="2025-11-20T00:00:00"/>
    <s v="Thursday "/>
    <x v="1"/>
    <x v="0"/>
    <n v="85"/>
  </r>
  <r>
    <d v="2025-10-24T00:00:00"/>
    <s v="AMAZON MKTPL*N40JU5FC1 AMZN.COM/BILLWA_x000a_6AQFHFILCC3"/>
    <x v="0"/>
    <s v="Sale"/>
    <n v="29.28"/>
    <x v="0"/>
    <n v="29.28"/>
    <n v="2025"/>
    <n v="10"/>
    <s v="2025-10"/>
    <d v="2025-10-24T00:00:00"/>
    <s v="Friday   "/>
    <x v="1"/>
    <x v="0"/>
    <n v="93"/>
  </r>
  <r>
    <d v="2025-10-23T00:00:00"/>
    <s v="AMAZON.COM*NU8IY1NW2 AMZN.COM/BILLWA_x000a_5Q0O5YRF9I9"/>
    <x v="0"/>
    <s v="Sale"/>
    <n v="43.29"/>
    <x v="0"/>
    <n v="43.29"/>
    <n v="2025"/>
    <n v="10"/>
    <s v="2025-10"/>
    <d v="2025-10-23T00:00:00"/>
    <s v="Thursday "/>
    <x v="1"/>
    <x v="0"/>
    <n v="94"/>
  </r>
  <r>
    <d v="2025-10-23T00:00:00"/>
    <s v="AMAZON MKTPL*NU10Y7I61 AMZN.COM/BILLWA_x000a_8FQY66B92QY"/>
    <x v="0"/>
    <s v="Sale"/>
    <n v="41.2"/>
    <x v="0"/>
    <n v="41.2"/>
    <n v="2025"/>
    <n v="10"/>
    <s v="2025-10"/>
    <d v="2025-10-23T00:00:00"/>
    <s v="Thursday "/>
    <x v="1"/>
    <x v="0"/>
    <n v="95"/>
  </r>
  <r>
    <d v="2025-10-22T00:00:00"/>
    <s v="AMAZON MKTPL*NU7WE0QU1 AMZN.COM/BILLWA_x000a_1YSK1TIBV2S"/>
    <x v="0"/>
    <s v="Sale"/>
    <n v="152.04"/>
    <x v="0"/>
    <n v="152.04"/>
    <n v="2025"/>
    <n v="10"/>
    <s v="2025-10"/>
    <d v="2025-10-22T00:00:00"/>
    <s v="Wednesday"/>
    <x v="1"/>
    <x v="0"/>
    <n v="96"/>
  </r>
  <r>
    <d v="2025-10-22T00:00:00"/>
    <s v="AMAZON MKTPL*NU1XD5LK2 AMZN.COM/BILLWA_x000a_3AGLM8TA4N0"/>
    <x v="0"/>
    <s v="Sale"/>
    <n v="56.4"/>
    <x v="0"/>
    <n v="56.4"/>
    <n v="2025"/>
    <n v="10"/>
    <s v="2025-10"/>
    <d v="2025-10-22T00:00:00"/>
    <s v="Wednesday"/>
    <x v="1"/>
    <x v="0"/>
    <n v="97"/>
  </r>
  <r>
    <d v="2025-09-20T00:00:00"/>
    <s v="AMAZON PRIME*5R83E3433 AMZN.COM/BILLWA"/>
    <x v="0"/>
    <s v="Sale"/>
    <n v="14.99"/>
    <x v="0"/>
    <n v="14.99"/>
    <n v="2025"/>
    <n v="9"/>
    <s v="2025-09"/>
    <d v="2025-09-20T00:00:00"/>
    <s v="Saturday "/>
    <x v="1"/>
    <x v="0"/>
    <n v="98"/>
  </r>
  <r>
    <d v="2025-09-16T00:00:00"/>
    <s v="CRYSTAL LAKE PARK DISTRI"/>
    <x v="2"/>
    <s v="Sale"/>
    <n v="289.60000000000002"/>
    <x v="3"/>
    <n v="289.60000000000002"/>
    <n v="2025"/>
    <n v="9"/>
    <s v="2025-09"/>
    <d v="2025-09-16T00:00:00"/>
    <s v="Tuesday  "/>
    <x v="1"/>
    <x v="1"/>
    <n v="330"/>
  </r>
  <r>
    <d v="2025-09-16T00:00:00"/>
    <s v="CRYSTAL LAKE PARK DISTRI"/>
    <x v="2"/>
    <s v="Sale"/>
    <n v="362"/>
    <x v="3"/>
    <n v="362"/>
    <n v="2025"/>
    <n v="9"/>
    <s v="2025-09"/>
    <d v="2025-09-16T00:00:00"/>
    <s v="Tuesday  "/>
    <x v="1"/>
    <x v="1"/>
    <n v="331"/>
  </r>
  <r>
    <d v="2025-09-15T00:00:00"/>
    <s v="AMAZON MKTPL*NY8A019A0 AMZN.COM/BILLWA"/>
    <x v="0"/>
    <s v="Sale"/>
    <n v="21.69"/>
    <x v="0"/>
    <n v="21.69"/>
    <n v="2025"/>
    <n v="9"/>
    <s v="2025-09"/>
    <d v="2025-09-15T00:00:00"/>
    <s v="Monday   "/>
    <x v="1"/>
    <x v="0"/>
    <n v="99"/>
  </r>
  <r>
    <d v="2025-09-14T00:00:00"/>
    <s v="AMAZON.COM*HO6RA7Z83 AMZN.COM/BILLWA"/>
    <x v="0"/>
    <s v="Sale"/>
    <n v="7.69"/>
    <x v="0"/>
    <n v="7.69"/>
    <n v="2025"/>
    <n v="9"/>
    <s v="2025-09"/>
    <d v="2025-09-14T00:00:00"/>
    <s v="Sunday   "/>
    <x v="1"/>
    <x v="0"/>
    <n v="100"/>
  </r>
  <r>
    <d v="2025-09-06T00:00:00"/>
    <s v="AMAZON MKTPL*AY0G56ZM3 AMZN.COM/BILLWA"/>
    <x v="0"/>
    <s v="Sale"/>
    <n v="19.52"/>
    <x v="0"/>
    <n v="19.52"/>
    <n v="2025"/>
    <n v="9"/>
    <s v="2025-09"/>
    <d v="2025-09-06T00:00:00"/>
    <s v="Saturday "/>
    <x v="1"/>
    <x v="0"/>
    <n v="101"/>
  </r>
  <r>
    <d v="2025-09-03T00:00:00"/>
    <s v="AMAZON MKTPL*XQ6171X23 AMZN.COM/BILLWA_x000a_35LC74C05CM_x000a_TYJ6LDX89ZU"/>
    <x v="0"/>
    <s v="Sale"/>
    <n v="37.96"/>
    <x v="0"/>
    <n v="37.96"/>
    <n v="2025"/>
    <n v="9"/>
    <s v="2025-09"/>
    <d v="2025-09-03T00:00:00"/>
    <s v="Wednesday"/>
    <x v="1"/>
    <x v="0"/>
    <n v="104"/>
  </r>
  <r>
    <d v="2025-08-20T00:00:00"/>
    <s v="AMAZON PRIME*199327SP3 AMZN.COM/BILLWA_x000a_1U1Y9D2SK8K"/>
    <x v="0"/>
    <s v="Sale"/>
    <n v="14.99"/>
    <x v="0"/>
    <n v="14.99"/>
    <n v="2025"/>
    <n v="8"/>
    <s v="2025-08"/>
    <d v="2025-08-20T00:00:00"/>
    <s v="Wednesday"/>
    <x v="1"/>
    <x v="0"/>
    <n v="105"/>
  </r>
  <r>
    <d v="2025-08-20T00:00:00"/>
    <s v="AMAZON MKTPL*NP7FJ7R23 AMZN.COM/BILLWA"/>
    <x v="0"/>
    <s v="Sale"/>
    <n v="11.88"/>
    <x v="0"/>
    <n v="11.88"/>
    <n v="2025"/>
    <n v="8"/>
    <s v="2025-08"/>
    <d v="2025-08-20T00:00:00"/>
    <s v="Wednesday"/>
    <x v="1"/>
    <x v="0"/>
    <n v="106"/>
  </r>
  <r>
    <d v="2025-08-18T00:00:00"/>
    <s v="AMAZON MKTPL*Z73EC8HD3 AMZN.COM/BILLWA_x000a_3RAI0ET9HRX"/>
    <x v="0"/>
    <s v="Sale"/>
    <n v="35.369999999999997"/>
    <x v="0"/>
    <n v="35.369999999999997"/>
    <n v="2025"/>
    <n v="8"/>
    <s v="2025-08"/>
    <d v="2025-08-18T00:00:00"/>
    <s v="Monday   "/>
    <x v="1"/>
    <x v="0"/>
    <n v="107"/>
  </r>
  <r>
    <d v="2025-08-08T00:00:00"/>
    <s v="AMAZON MKTPL*BR9GK7383 AMZN.COM/BILLWA_x000a_6NE15WORXNQ"/>
    <x v="0"/>
    <s v="Sale"/>
    <n v="31.43"/>
    <x v="0"/>
    <n v="31.43"/>
    <n v="2025"/>
    <n v="8"/>
    <s v="2025-08"/>
    <d v="2025-08-08T00:00:00"/>
    <s v="Friday   "/>
    <x v="1"/>
    <x v="0"/>
    <n v="108"/>
  </r>
  <r>
    <d v="2025-08-06T00:00:00"/>
    <s v="AMAZON MKTPL*NE85R1DT0 AMZN.COM/BILLWA_x000a_SEE DETAILS OF YOUR NEXT DIRECTPAY BELOW"/>
    <x v="0"/>
    <s v="Sale"/>
    <n v="5.41"/>
    <x v="0"/>
    <n v="5.41"/>
    <n v="2025"/>
    <n v="8"/>
    <s v="2025-08"/>
    <d v="2025-08-06T00:00:00"/>
    <s v="Wednesday"/>
    <x v="1"/>
    <x v="0"/>
    <n v="109"/>
  </r>
  <r>
    <d v="2025-07-20T00:00:00"/>
    <s v="AMAZON PRIME*AE9J20MH3 AMZN.COM/BILLWA_x000a_2BFJZIXSNRE"/>
    <x v="0"/>
    <s v="Sale"/>
    <n v="14.99"/>
    <x v="0"/>
    <n v="14.99"/>
    <n v="2025"/>
    <n v="7"/>
    <s v="2025-07"/>
    <d v="2025-07-20T00:00:00"/>
    <s v="Sunday   "/>
    <x v="1"/>
    <x v="0"/>
    <n v="110"/>
  </r>
  <r>
    <d v="2025-07-09T00:00:00"/>
    <s v="AMAZON MKTPL*NL1E62VK0 AMZN.COM/BILLWA_x000a_2LNOBKG3TVY"/>
    <x v="0"/>
    <s v="Sale"/>
    <n v="276.68"/>
    <x v="0"/>
    <n v="276.68"/>
    <n v="2025"/>
    <n v="7"/>
    <s v="2025-07"/>
    <d v="2025-07-09T00:00:00"/>
    <s v="Wednesday"/>
    <x v="1"/>
    <x v="0"/>
    <n v="111"/>
  </r>
  <r>
    <d v="2026-01-01T00:00:00"/>
    <s v="DUNKIN #355515"/>
    <x v="3"/>
    <s v="Sale"/>
    <n v="8.08"/>
    <x v="4"/>
    <n v="8.08"/>
    <n v="2026"/>
    <n v="1"/>
    <s v="2026-01"/>
    <d v="2026-01-01T00:00:00"/>
    <s v="Thursday "/>
    <x v="1"/>
    <x v="0"/>
    <n v="1061"/>
  </r>
  <r>
    <d v="2025-10-05T00:00:00"/>
    <s v="ANNUAL HOTEL CREDIT"/>
    <x v="1"/>
    <s v="Return"/>
    <n v="-50"/>
    <x v="5"/>
    <n v="50"/>
    <n v="2025"/>
    <n v="10"/>
    <s v="2025-10"/>
    <d v="2025-10-05T00:00:00"/>
    <s v="Sunday   "/>
    <x v="0"/>
    <x v="0"/>
    <n v="432"/>
  </r>
  <r>
    <d v="2025-06-04T00:00:00"/>
    <s v="AMAZON MKTPLACE PMTS AMZN.COM/BILLWA_x000a_68PK988VD7Z"/>
    <x v="0"/>
    <s v="Return"/>
    <n v="-24.54"/>
    <x v="0"/>
    <n v="24.54"/>
    <n v="2025"/>
    <n v="6"/>
    <s v="2025-06"/>
    <d v="2025-06-04T00:00:00"/>
    <s v="Wednesday"/>
    <x v="0"/>
    <x v="0"/>
    <n v="115"/>
  </r>
  <r>
    <d v="2025-06-03T00:00:00"/>
    <s v="AMAZON MKTPLACE PMTS AMZN.COM/BILLWA_x000a_3Y0KC4FTCXV"/>
    <x v="0"/>
    <s v="Return"/>
    <n v="-22.56"/>
    <x v="0"/>
    <n v="22.56"/>
    <n v="2025"/>
    <n v="6"/>
    <s v="2025-06"/>
    <d v="2025-06-03T00:00:00"/>
    <s v="Tuesday  "/>
    <x v="0"/>
    <x v="0"/>
    <n v="117"/>
  </r>
  <r>
    <d v="2025-06-03T00:00:00"/>
    <s v="AMAZON MKTPL*N603D2RH2 AMZN.COM/BILLWA_x000a_JD0BKNIPDI3"/>
    <x v="0"/>
    <s v="Sale"/>
    <n v="17.28"/>
    <x v="0"/>
    <n v="17.28"/>
    <n v="2025"/>
    <n v="6"/>
    <s v="2025-06"/>
    <d v="2025-06-03T00:00:00"/>
    <s v="Tuesday  "/>
    <x v="1"/>
    <x v="0"/>
    <n v="116"/>
  </r>
  <r>
    <d v="2025-05-22T00:00:00"/>
    <s v="AMAZON MKTPL*NZ8960PM1 AMZN.COM/BILLWA_x000a_6CTTRN5LFYP"/>
    <x v="0"/>
    <s v="Sale"/>
    <n v="39.049999999999997"/>
    <x v="0"/>
    <n v="39.049999999999997"/>
    <n v="2025"/>
    <n v="5"/>
    <s v="2025-05"/>
    <d v="2025-05-22T00:00:00"/>
    <s v="Thursday "/>
    <x v="1"/>
    <x v="0"/>
    <n v="120"/>
  </r>
  <r>
    <d v="2025-05-22T00:00:00"/>
    <s v="AMAZON MKTPL*NZ4F75JP0 AMZN.COM/BILLWA_x000a_6BP4XHDEGJ3"/>
    <x v="0"/>
    <s v="Sale"/>
    <n v="10.84"/>
    <x v="0"/>
    <n v="10.84"/>
    <n v="2025"/>
    <n v="5"/>
    <s v="2025-05"/>
    <d v="2025-05-22T00:00:00"/>
    <s v="Thursday "/>
    <x v="1"/>
    <x v="0"/>
    <n v="121"/>
  </r>
  <r>
    <d v="2025-05-21T00:00:00"/>
    <s v="AMAZON MKTPL*NN16I14C2 AMZN.COM/BILLWA_x000a_6JX3RH3SWK3"/>
    <x v="0"/>
    <s v="Sale"/>
    <n v="94.68"/>
    <x v="0"/>
    <n v="94.68"/>
    <n v="2025"/>
    <n v="5"/>
    <s v="2025-05"/>
    <d v="2025-05-21T00:00:00"/>
    <s v="Wednesday"/>
    <x v="1"/>
    <x v="0"/>
    <n v="122"/>
  </r>
  <r>
    <d v="2025-05-21T00:00:00"/>
    <s v="AMAZON MKTPL*NN7092CL2 AMZN.COM/BILLWA_x000a_6H1CS8KJ4CM"/>
    <x v="0"/>
    <s v="Sale"/>
    <n v="94.61"/>
    <x v="0"/>
    <n v="94.61"/>
    <n v="2025"/>
    <n v="5"/>
    <s v="2025-05"/>
    <d v="2025-05-21T00:00:00"/>
    <s v="Wednesday"/>
    <x v="1"/>
    <x v="0"/>
    <n v="123"/>
  </r>
  <r>
    <d v="2025-05-20T00:00:00"/>
    <s v="AMAZON PRIME*NZ3FA1OW1 AMZN.COM/BILLWA_x000a_20KLJ6PSJZ7"/>
    <x v="0"/>
    <s v="Sale"/>
    <n v="14.99"/>
    <x v="0"/>
    <n v="14.99"/>
    <n v="2025"/>
    <n v="5"/>
    <s v="2025-05"/>
    <d v="2025-05-20T00:00:00"/>
    <s v="Tuesday  "/>
    <x v="1"/>
    <x v="0"/>
    <n v="124"/>
  </r>
  <r>
    <d v="2025-06-03T00:00:00"/>
    <s v="AMAZON MKTPLACE PMTS AMZN.COM/BILLWA_x000a_78HQ3HKJ9WU"/>
    <x v="0"/>
    <s v="Return"/>
    <n v="-32.97"/>
    <x v="0"/>
    <n v="32.97"/>
    <n v="2025"/>
    <n v="6"/>
    <s v="2025-06"/>
    <d v="2025-06-03T00:00:00"/>
    <s v="Tuesday  "/>
    <x v="0"/>
    <x v="0"/>
    <n v="118"/>
  </r>
  <r>
    <d v="2025-06-03T00:00:00"/>
    <s v="AMAZON MKTPLACE PMTS AMZN.COM/BILLWA_x000a_1QIDAC155EY"/>
    <x v="0"/>
    <s v="Return"/>
    <n v="-39.049999999999997"/>
    <x v="0"/>
    <n v="39.049999999999997"/>
    <n v="2025"/>
    <n v="6"/>
    <s v="2025-06"/>
    <d v="2025-06-03T00:00:00"/>
    <s v="Tuesday  "/>
    <x v="0"/>
    <x v="0"/>
    <n v="119"/>
  </r>
  <r>
    <d v="2026-02-04T00:00:00"/>
    <s v="ARANTZA DUTY FREE SHOP"/>
    <x v="0"/>
    <s v="Sale"/>
    <n v="24"/>
    <x v="6"/>
    <n v="24"/>
    <n v="2026"/>
    <n v="2"/>
    <s v="2026-02"/>
    <d v="2026-02-04T00:00:00"/>
    <s v="Wednesday"/>
    <x v="1"/>
    <x v="0"/>
    <n v="134"/>
  </r>
  <r>
    <d v="2026-02-04T00:00:00"/>
    <s v="CHRISTMAS BY THE SEA"/>
    <x v="0"/>
    <s v="Sale"/>
    <n v="19"/>
    <x v="7"/>
    <n v="19"/>
    <n v="2026"/>
    <n v="2"/>
    <s v="2026-02"/>
    <d v="2026-02-04T00:00:00"/>
    <s v="Wednesday"/>
    <x v="1"/>
    <x v="0"/>
    <n v="135"/>
  </r>
  <r>
    <d v="2026-01-01T00:00:00"/>
    <s v="WAL-MART #1413"/>
    <x v="0"/>
    <s v="Sale"/>
    <n v="68.069999999999993"/>
    <x v="8"/>
    <n v="68.069999999999993"/>
    <n v="2026"/>
    <n v="1"/>
    <s v="2026-01"/>
    <d v="2026-01-01T00:00:00"/>
    <s v="Thursday "/>
    <x v="1"/>
    <x v="0"/>
    <n v="546"/>
  </r>
  <r>
    <d v="2025-09-15T00:00:00"/>
    <s v="2112 GREAT CLIPS AT COUNT"/>
    <x v="4"/>
    <s v="Sale"/>
    <n v="29"/>
    <x v="9"/>
    <n v="29"/>
    <n v="2025"/>
    <n v="9"/>
    <s v="2025-09"/>
    <d v="2025-09-15T00:00:00"/>
    <s v="Monday   "/>
    <x v="1"/>
    <x v="1"/>
    <n v="1244"/>
  </r>
  <r>
    <d v="2025-06-02T00:00:00"/>
    <s v="2112 GREAT CLIPS AT COUNT"/>
    <x v="4"/>
    <s v="Sale"/>
    <n v="27"/>
    <x v="9"/>
    <n v="27"/>
    <n v="2025"/>
    <n v="6"/>
    <s v="2025-06"/>
    <d v="2025-06-02T00:00:00"/>
    <s v="Monday   "/>
    <x v="1"/>
    <x v="1"/>
    <n v="1341"/>
  </r>
  <r>
    <d v="2025-11-17T00:00:00"/>
    <s v="CRYSTAL LAKE PARK DISTRI"/>
    <x v="2"/>
    <s v="Sale"/>
    <n v="289.60000000000002"/>
    <x v="3"/>
    <n v="289.60000000000002"/>
    <n v="2025"/>
    <n v="11"/>
    <s v="2025-11"/>
    <d v="2025-11-17T00:00:00"/>
    <s v="Monday   "/>
    <x v="1"/>
    <x v="1"/>
    <n v="423"/>
  </r>
  <r>
    <d v="2025-11-17T00:00:00"/>
    <s v="CRYSTAL LAKE PARK DISTRI"/>
    <x v="2"/>
    <s v="Sale"/>
    <n v="362"/>
    <x v="3"/>
    <n v="362"/>
    <n v="2025"/>
    <n v="11"/>
    <s v="2025-11"/>
    <d v="2025-11-17T00:00:00"/>
    <s v="Monday   "/>
    <x v="1"/>
    <x v="1"/>
    <n v="424"/>
  </r>
  <r>
    <d v="2025-11-20T00:00:00"/>
    <s v="SCHLPAY*CRYSTALLAKECCSD47"/>
    <x v="2"/>
    <s v="Sale"/>
    <n v="40"/>
    <x v="10"/>
    <n v="40"/>
    <n v="2025"/>
    <n v="11"/>
    <s v="2025-11"/>
    <d v="2025-11-20T00:00:00"/>
    <s v="Thursday "/>
    <x v="1"/>
    <x v="1"/>
    <n v="416"/>
  </r>
  <r>
    <d v="2025-09-09T00:00:00"/>
    <s v="Scholastic  Inc."/>
    <x v="2"/>
    <s v="Sale"/>
    <n v="33.6"/>
    <x v="11"/>
    <n v="33.6"/>
    <n v="2025"/>
    <n v="9"/>
    <s v="2025-09"/>
    <d v="2025-09-09T00:00:00"/>
    <s v="Tuesday  "/>
    <x v="1"/>
    <x v="1"/>
    <n v="437"/>
  </r>
  <r>
    <d v="2025-09-03T00:00:00"/>
    <s v="COLOR PORTRAITS INC"/>
    <x v="2"/>
    <s v="Sale"/>
    <n v="82.5"/>
    <x v="12"/>
    <n v="82.5"/>
    <n v="2025"/>
    <n v="9"/>
    <s v="2025-09"/>
    <d v="2025-09-03T00:00:00"/>
    <s v="Wednesday"/>
    <x v="1"/>
    <x v="1"/>
    <n v="438"/>
  </r>
  <r>
    <d v="2026-02-28T00:00:00"/>
    <s v="PAYPAL *LITTLEWAYLE"/>
    <x v="2"/>
    <s v="Sale"/>
    <n v="525"/>
    <x v="13"/>
    <n v="525"/>
    <n v="2026"/>
    <n v="2"/>
    <s v="2026-02"/>
    <d v="2026-02-28T00:00:00"/>
    <s v="Saturday "/>
    <x v="1"/>
    <x v="1"/>
    <n v="402"/>
  </r>
  <r>
    <d v="2025-08-21T00:00:00"/>
    <s v="SCHLPAY*CRYSTALLAKECCSD47"/>
    <x v="2"/>
    <s v="Sale"/>
    <n v="135"/>
    <x v="10"/>
    <n v="135"/>
    <n v="2025"/>
    <n v="8"/>
    <s v="2025-08"/>
    <d v="2025-08-21T00:00:00"/>
    <s v="Thursday "/>
    <x v="1"/>
    <x v="1"/>
    <n v="451"/>
  </r>
  <r>
    <d v="2025-08-13T00:00:00"/>
    <s v="LOVE'S #0629 INSIDE"/>
    <x v="5"/>
    <s v="Sale"/>
    <n v="5.69"/>
    <x v="14"/>
    <n v="5.69"/>
    <n v="2025"/>
    <n v="8"/>
    <s v="2025-08"/>
    <d v="2025-08-13T00:00:00"/>
    <s v="Wednesday"/>
    <x v="1"/>
    <x v="1"/>
    <n v="452"/>
  </r>
  <r>
    <d v="2025-08-05T00:00:00"/>
    <s v="DR MATTS OFFICE"/>
    <x v="4"/>
    <s v="Sale"/>
    <n v="40"/>
    <x v="15"/>
    <n v="40"/>
    <n v="2025"/>
    <n v="8"/>
    <s v="2025-08"/>
    <d v="2025-08-05T00:00:00"/>
    <s v="Tuesday  "/>
    <x v="1"/>
    <x v="1"/>
    <n v="453"/>
  </r>
  <r>
    <d v="2026-01-15T00:00:00"/>
    <s v="CRYSTAL LAKE PARK DISTRI"/>
    <x v="2"/>
    <s v="Sale"/>
    <n v="289.60000000000002"/>
    <x v="3"/>
    <n v="289.60000000000002"/>
    <n v="2026"/>
    <n v="1"/>
    <s v="2026-01"/>
    <d v="2026-01-15T00:00:00"/>
    <s v="Thursday "/>
    <x v="1"/>
    <x v="1"/>
    <n v="474"/>
  </r>
  <r>
    <d v="2025-08-07T00:00:00"/>
    <s v="FRIENDSHIP HOUSE"/>
    <x v="2"/>
    <s v="Sale"/>
    <n v="338.4"/>
    <x v="16"/>
    <n v="338.4"/>
    <n v="2025"/>
    <n v="8"/>
    <s v="2025-08"/>
    <d v="2025-08-07T00:00:00"/>
    <s v="Thursday "/>
    <x v="1"/>
    <x v="1"/>
    <n v="495"/>
  </r>
  <r>
    <d v="2025-07-17T00:00:00"/>
    <s v="FRIENDSHIP HOUSE"/>
    <x v="2"/>
    <s v="Sale"/>
    <n v="733"/>
    <x v="16"/>
    <n v="733"/>
    <n v="2025"/>
    <n v="7"/>
    <s v="2025-07"/>
    <d v="2025-07-17T00:00:00"/>
    <s v="Thursday "/>
    <x v="1"/>
    <x v="1"/>
    <n v="496"/>
  </r>
  <r>
    <d v="2025-06-24T00:00:00"/>
    <s v="FRIENDSHIP HOUSE"/>
    <x v="2"/>
    <s v="Sale"/>
    <n v="846"/>
    <x v="16"/>
    <n v="846"/>
    <n v="2025"/>
    <n v="6"/>
    <s v="2025-06"/>
    <d v="2025-06-24T00:00:00"/>
    <s v="Tuesday  "/>
    <x v="1"/>
    <x v="1"/>
    <n v="511"/>
  </r>
  <r>
    <d v="2025-11-08T00:00:00"/>
    <s v="ASSOCIATES IN PSYCHIATRY"/>
    <x v="4"/>
    <s v="Sale"/>
    <n v="20"/>
    <x v="17"/>
    <n v="20"/>
    <n v="2025"/>
    <n v="11"/>
    <s v="2025-11"/>
    <d v="2025-11-08T00:00:00"/>
    <s v="Saturday "/>
    <x v="1"/>
    <x v="1"/>
    <n v="461"/>
  </r>
  <r>
    <d v="2025-07-16T00:00:00"/>
    <s v="CASEYS #3775"/>
    <x v="5"/>
    <s v="Sale"/>
    <n v="12"/>
    <x v="18"/>
    <n v="12"/>
    <n v="2025"/>
    <n v="7"/>
    <s v="2025-07"/>
    <d v="2025-07-16T00:00:00"/>
    <s v="Wednesday"/>
    <x v="1"/>
    <x v="1"/>
    <n v="494"/>
  </r>
  <r>
    <d v="2026-03-20T00:00:00"/>
    <s v="FSP*ALL SAFE SELF STORAG LAKE IN THE HIL"/>
    <x v="6"/>
    <s v="Sale"/>
    <n v="138.6"/>
    <x v="19"/>
    <n v="138.6"/>
    <n v="2026"/>
    <n v="3"/>
    <s v="2026-03"/>
    <d v="2026-03-20T00:00:00"/>
    <s v="Friday   "/>
    <x v="1"/>
    <x v="1"/>
    <n v="578"/>
  </r>
  <r>
    <d v="2026-01-23T00:00:00"/>
    <s v="CULVERS WOODSTOCK"/>
    <x v="3"/>
    <s v="Sale"/>
    <n v="12.6"/>
    <x v="20"/>
    <n v="12.6"/>
    <n v="2026"/>
    <n v="1"/>
    <s v="2026-01"/>
    <d v="2026-01-23T00:00:00"/>
    <s v="Friday   "/>
    <x v="1"/>
    <x v="0"/>
    <n v="202"/>
  </r>
  <r>
    <d v="2026-02-20T00:00:00"/>
    <s v="FSP*ALL SAFE SELF STORAG LAKE IN THE HIL_x000a_59771837142271388"/>
    <x v="6"/>
    <s v="Sale"/>
    <n v="138.6"/>
    <x v="19"/>
    <n v="138.6"/>
    <n v="2026"/>
    <n v="2"/>
    <s v="2026-02"/>
    <d v="2026-02-20T00:00:00"/>
    <s v="Friday   "/>
    <x v="1"/>
    <x v="1"/>
    <n v="579"/>
  </r>
  <r>
    <d v="2025-09-26T00:00:00"/>
    <s v="DERMATOLOGY SPECIALIST DERMSPECIALISIL_x000a_88V3RAIHS4S"/>
    <x v="4"/>
    <s v="Sale"/>
    <n v="40"/>
    <x v="21"/>
    <n v="40"/>
    <n v="2025"/>
    <n v="9"/>
    <s v="2025-09"/>
    <d v="2025-09-26T00:00:00"/>
    <s v="Friday   "/>
    <x v="1"/>
    <x v="1"/>
    <n v="611"/>
  </r>
  <r>
    <d v="2025-10-19T00:00:00"/>
    <s v="SignUp *SaveTheManatee5k"/>
    <x v="7"/>
    <s v="Sale"/>
    <n v="49.5"/>
    <x v="22"/>
    <n v="49.5"/>
    <n v="2025"/>
    <n v="10"/>
    <s v="2025-10"/>
    <d v="2025-10-19T00:00:00"/>
    <s v="Sunday   "/>
    <x v="1"/>
    <x v="0"/>
    <n v="225"/>
  </r>
  <r>
    <d v="2025-12-11T00:00:00"/>
    <s v="MCDONALD'S F11558"/>
    <x v="3"/>
    <s v="Sale"/>
    <n v="7.38"/>
    <x v="23"/>
    <n v="7.38"/>
    <n v="2025"/>
    <n v="12"/>
    <s v="2025-12"/>
    <d v="2025-12-11T00:00:00"/>
    <s v="Thursday "/>
    <x v="1"/>
    <x v="0"/>
    <n v="218"/>
  </r>
  <r>
    <d v="2025-12-15T00:00:00"/>
    <s v="CRYSTAL LAKE PARK DISTRI"/>
    <x v="2"/>
    <s v="Sale"/>
    <n v="362"/>
    <x v="3"/>
    <n v="362"/>
    <n v="2025"/>
    <n v="12"/>
    <s v="2025-12"/>
    <d v="2025-12-15T00:00:00"/>
    <s v="Monday   "/>
    <x v="1"/>
    <x v="1"/>
    <n v="541"/>
  </r>
  <r>
    <d v="2025-05-06T00:00:00"/>
    <s v="CRYSTAL LAKE PARK DISTRI"/>
    <x v="2"/>
    <s v="Sale"/>
    <n v="751.6"/>
    <x v="3"/>
    <n v="751.6"/>
    <n v="2025"/>
    <n v="5"/>
    <s v="2025-05"/>
    <d v="2025-05-06T00:00:00"/>
    <s v="Tuesday  "/>
    <x v="1"/>
    <x v="1"/>
    <n v="562"/>
  </r>
  <r>
    <d v="2025-05-02T00:00:00"/>
    <s v="CHIPOTLE 3609"/>
    <x v="3"/>
    <s v="Sale"/>
    <n v="19.05"/>
    <x v="24"/>
    <n v="19.05"/>
    <n v="2025"/>
    <n v="5"/>
    <s v="2025-05"/>
    <d v="2025-05-02T00:00:00"/>
    <s v="Friday   "/>
    <x v="1"/>
    <x v="0"/>
    <n v="301"/>
  </r>
  <r>
    <d v="2025-05-20T00:00:00"/>
    <s v="DD/BR #340391 Q35"/>
    <x v="3"/>
    <s v="Sale"/>
    <n v="7.11"/>
    <x v="4"/>
    <n v="7.11"/>
    <n v="2025"/>
    <n v="5"/>
    <s v="2025-05"/>
    <d v="2025-05-20T00:00:00"/>
    <s v="Tuesday  "/>
    <x v="1"/>
    <x v="0"/>
    <n v="302"/>
  </r>
  <r>
    <d v="2025-05-16T00:00:00"/>
    <s v="DD/BR #340391 Q35"/>
    <x v="3"/>
    <s v="Sale"/>
    <n v="3.88"/>
    <x v="4"/>
    <n v="3.88"/>
    <n v="2025"/>
    <n v="5"/>
    <s v="2025-05"/>
    <d v="2025-05-16T00:00:00"/>
    <s v="Friday   "/>
    <x v="1"/>
    <x v="0"/>
    <n v="303"/>
  </r>
  <r>
    <d v="2026-01-17T00:00:00"/>
    <s v="WM SUPERCENTER #5060"/>
    <x v="0"/>
    <s v="Sale"/>
    <n v="179.18"/>
    <x v="8"/>
    <n v="179.18"/>
    <n v="2026"/>
    <n v="1"/>
    <s v="2026-01"/>
    <d v="2026-01-17T00:00:00"/>
    <s v="Saturday "/>
    <x v="1"/>
    <x v="0"/>
    <n v="1018"/>
  </r>
  <r>
    <d v="2025-09-10T00:00:00"/>
    <s v="WAL-MART #3434"/>
    <x v="0"/>
    <s v="Sale"/>
    <n v="9.67"/>
    <x v="8"/>
    <n v="9.67"/>
    <n v="2025"/>
    <n v="9"/>
    <s v="2025-09"/>
    <d v="2025-09-10T00:00:00"/>
    <s v="Wednesday"/>
    <x v="1"/>
    <x v="0"/>
    <n v="557"/>
  </r>
  <r>
    <d v="2025-06-19T00:00:00"/>
    <s v="WAL-MART #0032"/>
    <x v="0"/>
    <s v="Sale"/>
    <n v="84.25"/>
    <x v="8"/>
    <n v="84.25"/>
    <n v="2025"/>
    <n v="6"/>
    <s v="2025-06"/>
    <d v="2025-06-19T00:00:00"/>
    <s v="Thursday "/>
    <x v="1"/>
    <x v="0"/>
    <n v="568"/>
  </r>
  <r>
    <d v="2025-07-26T00:00:00"/>
    <s v="WM SUPERCENTER #4286"/>
    <x v="0"/>
    <s v="Return"/>
    <n v="-21.38"/>
    <x v="8"/>
    <n v="21.38"/>
    <n v="2025"/>
    <n v="7"/>
    <s v="2025-07"/>
    <d v="2025-07-26T00:00:00"/>
    <s v="Saturday "/>
    <x v="0"/>
    <x v="0"/>
    <n v="532"/>
  </r>
  <r>
    <d v="2025-06-08T00:00:00"/>
    <s v="DOLLARTREE"/>
    <x v="0"/>
    <s v="Sale"/>
    <n v="20.57"/>
    <x v="2"/>
    <n v="20.57"/>
    <n v="2025"/>
    <n v="6"/>
    <s v="2025-06"/>
    <d v="2025-06-08T00:00:00"/>
    <s v="Sunday   "/>
    <x v="1"/>
    <x v="0"/>
    <n v="392"/>
  </r>
  <r>
    <d v="2025-12-09T00:00:00"/>
    <s v="WAL-MART #3434"/>
    <x v="0"/>
    <s v="Sale"/>
    <n v="87.09"/>
    <x v="8"/>
    <n v="87.09"/>
    <n v="2025"/>
    <n v="12"/>
    <s v="2025-12"/>
    <d v="2025-12-09T00:00:00"/>
    <s v="Tuesday  "/>
    <x v="1"/>
    <x v="0"/>
    <n v="441"/>
  </r>
  <r>
    <d v="2025-09-17T00:00:00"/>
    <s v="WAL-MART #1413"/>
    <x v="0"/>
    <s v="Return"/>
    <n v="-9.7200000000000006"/>
    <x v="8"/>
    <n v="9.7200000000000006"/>
    <n v="2025"/>
    <n v="9"/>
    <s v="2025-09"/>
    <d v="2025-09-17T00:00:00"/>
    <s v="Wednesday"/>
    <x v="0"/>
    <x v="0"/>
    <n v="514"/>
  </r>
  <r>
    <d v="2025-12-22T00:00:00"/>
    <s v="WM SUPERCENTER #3434"/>
    <x v="0"/>
    <s v="Sale"/>
    <n v="113.01"/>
    <x v="8"/>
    <n v="113.01"/>
    <n v="2025"/>
    <n v="12"/>
    <s v="2025-12"/>
    <d v="2025-12-22T00:00:00"/>
    <s v="Monday   "/>
    <x v="1"/>
    <x v="0"/>
    <n v="1064"/>
  </r>
  <r>
    <d v="2025-06-03T00:00:00"/>
    <s v="WM SUPERCENTER #3434"/>
    <x v="0"/>
    <s v="Return"/>
    <n v="-74.69"/>
    <x v="8"/>
    <n v="74.69"/>
    <n v="2025"/>
    <n v="6"/>
    <s v="2025-06"/>
    <d v="2025-06-03T00:00:00"/>
    <s v="Tuesday  "/>
    <x v="0"/>
    <x v="0"/>
    <n v="597"/>
  </r>
  <r>
    <d v="2025-08-08T00:00:00"/>
    <s v="WAL-MART #3434"/>
    <x v="0"/>
    <s v="Sale"/>
    <n v="19.600000000000001"/>
    <x v="8"/>
    <n v="19.600000000000001"/>
    <n v="2025"/>
    <n v="8"/>
    <s v="2025-08"/>
    <d v="2025-08-08T00:00:00"/>
    <s v="Friday   "/>
    <x v="1"/>
    <x v="0"/>
    <n v="485"/>
  </r>
  <r>
    <d v="2025-08-04T00:00:00"/>
    <s v="WAL-MART #3434"/>
    <x v="0"/>
    <s v="Sale"/>
    <n v="47.52"/>
    <x v="8"/>
    <n v="47.52"/>
    <n v="2025"/>
    <n v="8"/>
    <s v="2025-08"/>
    <d v="2025-08-04T00:00:00"/>
    <s v="Monday   "/>
    <x v="1"/>
    <x v="0"/>
    <n v="486"/>
  </r>
  <r>
    <d v="2025-12-27T00:00:00"/>
    <s v="WAL-MART #4286"/>
    <x v="0"/>
    <s v="Sale"/>
    <n v="12.96"/>
    <x v="8"/>
    <n v="12.96"/>
    <n v="2025"/>
    <n v="12"/>
    <s v="2025-12"/>
    <d v="2025-12-27T00:00:00"/>
    <s v="Saturday "/>
    <x v="1"/>
    <x v="0"/>
    <n v="547"/>
  </r>
  <r>
    <d v="2025-08-07T00:00:00"/>
    <s v="WM SUPERCENTER #3434"/>
    <x v="0"/>
    <s v="Sale"/>
    <n v="84.15"/>
    <x v="8"/>
    <n v="84.15"/>
    <n v="2025"/>
    <n v="8"/>
    <s v="2025-08"/>
    <d v="2025-08-07T00:00:00"/>
    <s v="Thursday "/>
    <x v="1"/>
    <x v="0"/>
    <n v="594"/>
  </r>
  <r>
    <d v="2025-10-25T00:00:00"/>
    <s v="WM SUPERCENTER #3434"/>
    <x v="0"/>
    <s v="Sale"/>
    <n v="52.88"/>
    <x v="8"/>
    <n v="52.88"/>
    <n v="2025"/>
    <n v="10"/>
    <s v="2025-10"/>
    <d v="2025-10-25T00:00:00"/>
    <s v="Saturday "/>
    <x v="1"/>
    <x v="0"/>
    <n v="587"/>
  </r>
  <r>
    <d v="2025-06-08T00:00:00"/>
    <s v="WAL-MART #3434"/>
    <x v="0"/>
    <s v="Sale"/>
    <n v="64.489999999999995"/>
    <x v="8"/>
    <n v="64.489999999999995"/>
    <n v="2025"/>
    <n v="6"/>
    <s v="2025-06"/>
    <d v="2025-06-08T00:00:00"/>
    <s v="Sunday   "/>
    <x v="1"/>
    <x v="0"/>
    <n v="569"/>
  </r>
  <r>
    <d v="2025-07-19T00:00:00"/>
    <s v="WALMART STORE 01413 CRYSTAL LAKE IL"/>
    <x v="0"/>
    <s v="Sale"/>
    <n v="69.47"/>
    <x v="8"/>
    <n v="69.47"/>
    <n v="2025"/>
    <n v="7"/>
    <s v="2025-07"/>
    <d v="2025-07-19T00:00:00"/>
    <s v="Saturday "/>
    <x v="1"/>
    <x v="0"/>
    <n v="673"/>
  </r>
  <r>
    <d v="2025-05-10T00:00:00"/>
    <s v="WAL-MART #3434"/>
    <x v="0"/>
    <s v="Sale"/>
    <n v="114.92"/>
    <x v="8"/>
    <n v="114.92"/>
    <n v="2025"/>
    <n v="5"/>
    <s v="2025-05"/>
    <d v="2025-05-10T00:00:00"/>
    <s v="Saturday "/>
    <x v="1"/>
    <x v="0"/>
    <n v="574"/>
  </r>
  <r>
    <d v="2025-10-21T00:00:00"/>
    <s v="WAL-MART #1413"/>
    <x v="0"/>
    <s v="Sale"/>
    <n v="320.13"/>
    <x v="8"/>
    <n v="320.13"/>
    <n v="2025"/>
    <n v="10"/>
    <s v="2025-10"/>
    <d v="2025-10-21T00:00:00"/>
    <s v="Tuesday  "/>
    <x v="1"/>
    <x v="0"/>
    <n v="512"/>
  </r>
  <r>
    <d v="2026-02-11T00:00:00"/>
    <s v="WM SUPERCENTER #1079"/>
    <x v="0"/>
    <s v="Sale"/>
    <n v="5.84"/>
    <x v="8"/>
    <n v="5.84"/>
    <n v="2026"/>
    <n v="2"/>
    <s v="2026-02"/>
    <d v="2026-02-11T00:00:00"/>
    <s v="Wednesday"/>
    <x v="1"/>
    <x v="0"/>
    <n v="458"/>
  </r>
  <r>
    <d v="2025-05-18T00:00:00"/>
    <s v="WAL-MART #4641"/>
    <x v="0"/>
    <s v="Sale"/>
    <n v="273.62"/>
    <x v="8"/>
    <n v="273.62"/>
    <n v="2025"/>
    <n v="5"/>
    <s v="2025-05"/>
    <d v="2025-05-18T00:00:00"/>
    <s v="Sunday   "/>
    <x v="1"/>
    <x v="0"/>
    <n v="572"/>
  </r>
  <r>
    <d v="2025-07-20T00:00:00"/>
    <s v="WALMART STORE 01413 CRYSTAL LAKE IL"/>
    <x v="0"/>
    <s v="Sale"/>
    <n v="31.41"/>
    <x v="8"/>
    <n v="31.41"/>
    <n v="2025"/>
    <n v="7"/>
    <s v="2025-07"/>
    <d v="2025-07-20T00:00:00"/>
    <s v="Sunday   "/>
    <x v="1"/>
    <x v="0"/>
    <n v="672"/>
  </r>
  <r>
    <d v="2025-06-18T00:00:00"/>
    <s v="WW INT'L-DIGITAL 800-221-2112 NY"/>
    <x v="4"/>
    <s v="Sale"/>
    <n v="11"/>
    <x v="25"/>
    <n v="11"/>
    <n v="2025"/>
    <n v="6"/>
    <s v="2025-06"/>
    <d v="2025-06-18T00:00:00"/>
    <s v="Wednesday"/>
    <x v="1"/>
    <x v="1"/>
    <n v="617"/>
  </r>
  <r>
    <d v="2025-05-18T00:00:00"/>
    <s v="WW INT'L-DIGITAL 800-221-2112 NY_x000a_47933748"/>
    <x v="4"/>
    <s v="Sale"/>
    <n v="11"/>
    <x v="25"/>
    <n v="11"/>
    <n v="2025"/>
    <n v="5"/>
    <s v="2025-05"/>
    <d v="2025-05-18T00:00:00"/>
    <s v="Sunday   "/>
    <x v="1"/>
    <x v="1"/>
    <n v="618"/>
  </r>
  <r>
    <d v="2025-12-05T00:00:00"/>
    <s v="WAL-MART #5060"/>
    <x v="0"/>
    <s v="Sale"/>
    <n v="184.14"/>
    <x v="8"/>
    <n v="184.14"/>
    <n v="2025"/>
    <n v="12"/>
    <s v="2025-12"/>
    <d v="2025-12-05T00:00:00"/>
    <s v="Friday   "/>
    <x v="1"/>
    <x v="0"/>
    <n v="442"/>
  </r>
  <r>
    <d v="2026-03-04T00:00:00"/>
    <s v="WAL-MART #3434"/>
    <x v="0"/>
    <s v="Sale"/>
    <n v="15.32"/>
    <x v="8"/>
    <n v="15.32"/>
    <n v="2026"/>
    <n v="3"/>
    <s v="2026-03"/>
    <d v="2026-03-04T00:00:00"/>
    <s v="Wednesday"/>
    <x v="1"/>
    <x v="0"/>
    <n v="407"/>
  </r>
  <r>
    <d v="2026-03-22T00:00:00"/>
    <s v="DOLLAR TREE CRYSTAL LAKE IL"/>
    <x v="0"/>
    <s v="Sale"/>
    <n v="7.6"/>
    <x v="26"/>
    <n v="7.6"/>
    <n v="2026"/>
    <n v="3"/>
    <s v="2026-03"/>
    <d v="2026-03-22T00:00:00"/>
    <s v="Sunday   "/>
    <x v="1"/>
    <x v="0"/>
    <n v="510"/>
  </r>
  <r>
    <d v="2025-07-04T00:00:00"/>
    <s v="WAL-MART #4641"/>
    <x v="0"/>
    <s v="Sale"/>
    <n v="108.48"/>
    <x v="8"/>
    <n v="108.48"/>
    <n v="2025"/>
    <n v="7"/>
    <s v="2025-07"/>
    <d v="2025-07-04T00:00:00"/>
    <s v="Friday   "/>
    <x v="1"/>
    <x v="0"/>
    <n v="488"/>
  </r>
  <r>
    <d v="2025-12-14T00:00:00"/>
    <s v="WM SUPERCENTER #4286"/>
    <x v="0"/>
    <s v="Sale"/>
    <n v="53.72"/>
    <x v="8"/>
    <n v="53.72"/>
    <n v="2025"/>
    <n v="12"/>
    <s v="2025-12"/>
    <d v="2025-12-14T00:00:00"/>
    <s v="Sunday   "/>
    <x v="1"/>
    <x v="0"/>
    <n v="530"/>
  </r>
  <r>
    <d v="2026-02-16T00:00:00"/>
    <s v="WALMART STORE 03597 BELVIDERE IL_x000a_SEE DETAILS OF YOUR NEXT DIRECTPAY BELOW_x000a_2TJXE6QL47G"/>
    <x v="0"/>
    <s v="Sale"/>
    <n v="1.97"/>
    <x v="8"/>
    <n v="1.97"/>
    <n v="2026"/>
    <n v="2"/>
    <s v="2026-02"/>
    <d v="2026-02-16T00:00:00"/>
    <s v="Monday   "/>
    <x v="1"/>
    <x v="0"/>
    <n v="807"/>
  </r>
  <r>
    <d v="2025-12-22T00:00:00"/>
    <s v="WAL-MART CHECK PRINTNG"/>
    <x v="0"/>
    <s v="Sale"/>
    <n v="20.51"/>
    <x v="8"/>
    <n v="20.51"/>
    <n v="2025"/>
    <n v="12"/>
    <s v="2025-12"/>
    <d v="2025-12-22T00:00:00"/>
    <s v="Monday   "/>
    <x v="1"/>
    <x v="0"/>
    <n v="463"/>
  </r>
  <r>
    <d v="2025-06-16T00:00:00"/>
    <s v="WM SUPERCENTER #1413"/>
    <x v="0"/>
    <s v="Sale"/>
    <n v="121.11"/>
    <x v="8"/>
    <n v="121.11"/>
    <n v="2025"/>
    <n v="6"/>
    <s v="2025-06"/>
    <d v="2025-06-16T00:00:00"/>
    <s v="Monday   "/>
    <x v="1"/>
    <x v="0"/>
    <n v="596"/>
  </r>
  <r>
    <d v="2026-02-12T00:00:00"/>
    <s v="WAL-MART #1413"/>
    <x v="0"/>
    <s v="Sale"/>
    <n v="3.84"/>
    <x v="8"/>
    <n v="3.84"/>
    <n v="2026"/>
    <n v="2"/>
    <s v="2026-02"/>
    <d v="2026-02-12T00:00:00"/>
    <s v="Thursday "/>
    <x v="1"/>
    <x v="0"/>
    <n v="1021"/>
  </r>
  <r>
    <d v="2025-05-17T00:00:00"/>
    <s v="CULVERS WOODSTOCK"/>
    <x v="3"/>
    <s v="Sale"/>
    <n v="12.38"/>
    <x v="20"/>
    <n v="12.38"/>
    <n v="2025"/>
    <n v="5"/>
    <s v="2025-05"/>
    <d v="2025-05-17T00:00:00"/>
    <s v="Saturday "/>
    <x v="1"/>
    <x v="0"/>
    <n v="454"/>
  </r>
  <r>
    <d v="2025-07-11T00:00:00"/>
    <s v="TST*WINTRUST FIELD"/>
    <x v="3"/>
    <s v="Sale"/>
    <n v="24"/>
    <x v="27"/>
    <n v="24"/>
    <n v="2025"/>
    <n v="7"/>
    <s v="2025-07"/>
    <d v="2025-07-11T00:00:00"/>
    <s v="Friday   "/>
    <x v="1"/>
    <x v="0"/>
    <n v="255"/>
  </r>
  <r>
    <d v="2025-05-30T00:00:00"/>
    <s v="TST* ANTIOCH PIZZA - WOOD"/>
    <x v="3"/>
    <s v="Sale"/>
    <n v="7"/>
    <x v="28"/>
    <n v="7"/>
    <n v="2025"/>
    <n v="5"/>
    <s v="2025-05"/>
    <d v="2025-05-30T00:00:00"/>
    <s v="Friday   "/>
    <x v="1"/>
    <x v="0"/>
    <n v="258"/>
  </r>
  <r>
    <d v="2025-12-17T00:00:00"/>
    <s v="CHIPOTLE 3609"/>
    <x v="3"/>
    <s v="Sale"/>
    <n v="18.73"/>
    <x v="24"/>
    <n v="18.73"/>
    <n v="2025"/>
    <n v="12"/>
    <s v="2025-12"/>
    <d v="2025-12-17T00:00:00"/>
    <s v="Wednesday"/>
    <x v="1"/>
    <x v="0"/>
    <n v="467"/>
  </r>
  <r>
    <d v="2025-09-02T00:00:00"/>
    <s v="WAL-MART #4641"/>
    <x v="0"/>
    <s v="Sale"/>
    <n v="10.02"/>
    <x v="8"/>
    <n v="10.02"/>
    <n v="2025"/>
    <n v="9"/>
    <s v="2025-09"/>
    <d v="2025-09-02T00:00:00"/>
    <s v="Tuesday  "/>
    <x v="1"/>
    <x v="0"/>
    <n v="559"/>
  </r>
  <r>
    <d v="2025-07-13T00:00:00"/>
    <s v="WAL-MART #3434     SE2"/>
    <x v="0"/>
    <s v="Return"/>
    <n v="-63.85"/>
    <x v="8"/>
    <n v="63.85"/>
    <n v="2025"/>
    <n v="7"/>
    <s v="2025-07"/>
    <d v="2025-07-13T00:00:00"/>
    <s v="Sunday   "/>
    <x v="0"/>
    <x v="0"/>
    <n v="487"/>
  </r>
  <r>
    <d v="2025-06-24T00:00:00"/>
    <s v="WAL-MART #3434"/>
    <x v="0"/>
    <s v="Sale"/>
    <n v="6.46"/>
    <x v="8"/>
    <n v="6.46"/>
    <n v="2025"/>
    <n v="6"/>
    <s v="2025-06"/>
    <d v="2025-06-24T00:00:00"/>
    <s v="Tuesday  "/>
    <x v="1"/>
    <x v="0"/>
    <n v="567"/>
  </r>
  <r>
    <d v="2026-03-08T00:00:00"/>
    <s v="WM SUPERCENTER #1413"/>
    <x v="0"/>
    <s v="Sale"/>
    <n v="102.8"/>
    <x v="8"/>
    <n v="102.8"/>
    <n v="2026"/>
    <n v="3"/>
    <s v="2026-03"/>
    <d v="2026-03-08T00:00:00"/>
    <s v="Sunday   "/>
    <x v="1"/>
    <x v="0"/>
    <n v="456"/>
  </r>
  <r>
    <d v="2026-02-10T00:00:00"/>
    <s v="CULVERS OF INVERNESS"/>
    <x v="3"/>
    <s v="Sale"/>
    <n v="15.2"/>
    <x v="20"/>
    <n v="15.2"/>
    <n v="2026"/>
    <n v="2"/>
    <s v="2026-02"/>
    <d v="2026-02-10T00:00:00"/>
    <s v="Tuesday  "/>
    <x v="1"/>
    <x v="0"/>
    <n v="540"/>
  </r>
  <r>
    <d v="2026-01-09T00:00:00"/>
    <s v="TST*IMPROV COMEDY CLUB -"/>
    <x v="8"/>
    <s v="Sale"/>
    <n v="37.630000000000003"/>
    <x v="29"/>
    <n v="37.630000000000003"/>
    <n v="2026"/>
    <n v="1"/>
    <s v="2026-01"/>
    <d v="2026-01-09T00:00:00"/>
    <s v="Friday   "/>
    <x v="1"/>
    <x v="0"/>
    <n v="542"/>
  </r>
  <r>
    <d v="2025-05-04T00:00:00"/>
    <s v="WENDYS #  13352"/>
    <x v="3"/>
    <s v="Sale"/>
    <n v="7.38"/>
    <x v="30"/>
    <n v="7.38"/>
    <n v="2025"/>
    <n v="5"/>
    <s v="2025-05"/>
    <d v="2025-05-04T00:00:00"/>
    <s v="Sunday   "/>
    <x v="1"/>
    <x v="0"/>
    <n v="1334"/>
  </r>
  <r>
    <d v="2026-01-20T00:00:00"/>
    <s v="SXM*SIRIUSXM.COM/ACCT"/>
    <x v="8"/>
    <s v="Sale"/>
    <n v="7.99"/>
    <x v="31"/>
    <n v="7.99"/>
    <n v="2026"/>
    <n v="1"/>
    <s v="2026-01"/>
    <d v="2026-01-20T00:00:00"/>
    <s v="Tuesday  "/>
    <x v="1"/>
    <x v="0"/>
    <n v="599"/>
  </r>
  <r>
    <d v="2025-12-20T00:00:00"/>
    <s v="SXM*SIRIUSXM.COM/ACCT"/>
    <x v="8"/>
    <s v="Sale"/>
    <n v="7.99"/>
    <x v="31"/>
    <n v="7.99"/>
    <n v="2025"/>
    <n v="12"/>
    <s v="2025-12"/>
    <d v="2025-12-20T00:00:00"/>
    <s v="Saturday "/>
    <x v="1"/>
    <x v="0"/>
    <n v="600"/>
  </r>
  <r>
    <d v="2026-02-09T00:00:00"/>
    <s v="CULVERS OF INVERNESS"/>
    <x v="3"/>
    <s v="Sale"/>
    <n v="5.82"/>
    <x v="20"/>
    <n v="5.82"/>
    <n v="2026"/>
    <n v="2"/>
    <s v="2026-02"/>
    <d v="2026-02-09T00:00:00"/>
    <s v="Monday   "/>
    <x v="1"/>
    <x v="0"/>
    <n v="581"/>
  </r>
  <r>
    <d v="2025-09-25T00:00:00"/>
    <s v="CULVERS OF CRYSTAL LAKE"/>
    <x v="3"/>
    <s v="Sale"/>
    <n v="14.4"/>
    <x v="20"/>
    <n v="14.4"/>
    <n v="2025"/>
    <n v="9"/>
    <s v="2025-09"/>
    <d v="2025-09-25T00:00:00"/>
    <s v="Thursday "/>
    <x v="1"/>
    <x v="0"/>
    <n v="582"/>
  </r>
  <r>
    <d v="2025-12-19T00:00:00"/>
    <s v="CLASSIC CINEMAS WOODSTOCK"/>
    <x v="8"/>
    <s v="Sale"/>
    <n v="34"/>
    <x v="32"/>
    <n v="34"/>
    <n v="2025"/>
    <n v="12"/>
    <s v="2025-12"/>
    <d v="2025-12-19T00:00:00"/>
    <s v="Friday   "/>
    <x v="1"/>
    <x v="0"/>
    <n v="601"/>
  </r>
  <r>
    <d v="2026-03-30T00:00:00"/>
    <s v="CHICK-FIL-A #02927 CRYSTAL LAKE IL"/>
    <x v="3"/>
    <s v="Sale"/>
    <n v="11.43"/>
    <x v="33"/>
    <n v="11.43"/>
    <n v="2026"/>
    <n v="3"/>
    <s v="2026-03"/>
    <d v="2026-03-30T00:00:00"/>
    <s v="Monday   "/>
    <x v="1"/>
    <x v="0"/>
    <n v="607"/>
  </r>
  <r>
    <d v="2025-11-08T00:00:00"/>
    <s v="WAL-MART #1413"/>
    <x v="0"/>
    <s v="Sale"/>
    <n v="84.34"/>
    <x v="8"/>
    <n v="84.34"/>
    <n v="2025"/>
    <n v="11"/>
    <s v="2025-11"/>
    <d v="2025-11-08T00:00:00"/>
    <s v="Saturday "/>
    <x v="1"/>
    <x v="0"/>
    <n v="493"/>
  </r>
  <r>
    <d v="2025-09-21T00:00:00"/>
    <s v="WM SUPERCENTER #4286"/>
    <x v="0"/>
    <s v="Sale"/>
    <n v="61.5"/>
    <x v="8"/>
    <n v="61.5"/>
    <n v="2025"/>
    <n v="9"/>
    <s v="2025-09"/>
    <d v="2025-09-21T00:00:00"/>
    <s v="Sunday   "/>
    <x v="1"/>
    <x v="0"/>
    <n v="590"/>
  </r>
  <r>
    <d v="2025-12-23T00:00:00"/>
    <s v="WAL-MART #3434"/>
    <x v="0"/>
    <s v="Sale"/>
    <n v="127.87"/>
    <x v="8"/>
    <n v="127.87"/>
    <n v="2025"/>
    <n v="12"/>
    <s v="2025-12"/>
    <d v="2025-12-23T00:00:00"/>
    <s v="Tuesday  "/>
    <x v="1"/>
    <x v="0"/>
    <n v="548"/>
  </r>
  <r>
    <d v="2026-03-31T00:00:00"/>
    <s v="WALMART STORE 03434 WOODSTOCK IL"/>
    <x v="0"/>
    <s v="Sale"/>
    <n v="92.67"/>
    <x v="8"/>
    <n v="92.67"/>
    <n v="2026"/>
    <n v="3"/>
    <s v="2026-03"/>
    <d v="2026-03-31T00:00:00"/>
    <s v="Tuesday  "/>
    <x v="1"/>
    <x v="0"/>
    <n v="543"/>
  </r>
  <r>
    <d v="2025-09-23T00:00:00"/>
    <s v="WM SUPERCENTER #4286"/>
    <x v="0"/>
    <s v="Sale"/>
    <n v="7.95"/>
    <x v="8"/>
    <n v="7.95"/>
    <n v="2025"/>
    <n v="9"/>
    <s v="2025-09"/>
    <d v="2025-09-23T00:00:00"/>
    <s v="Tuesday  "/>
    <x v="1"/>
    <x v="0"/>
    <n v="589"/>
  </r>
  <r>
    <d v="2026-02-24T00:00:00"/>
    <s v="WM SUPERCENTER #3434"/>
    <x v="0"/>
    <s v="Sale"/>
    <n v="63.41"/>
    <x v="8"/>
    <n v="63.41"/>
    <n v="2026"/>
    <n v="2"/>
    <s v="2026-02"/>
    <d v="2026-02-24T00:00:00"/>
    <s v="Tuesday  "/>
    <x v="1"/>
    <x v="0"/>
    <n v="457"/>
  </r>
  <r>
    <d v="2025-07-12T00:00:00"/>
    <s v="WM SUPERCENTER #3434"/>
    <x v="0"/>
    <s v="Sale"/>
    <n v="34.43"/>
    <x v="8"/>
    <n v="34.43"/>
    <n v="2025"/>
    <n v="7"/>
    <s v="2025-07"/>
    <d v="2025-07-12T00:00:00"/>
    <s v="Saturday "/>
    <x v="1"/>
    <x v="0"/>
    <n v="535"/>
  </r>
  <r>
    <d v="2025-07-13T00:00:00"/>
    <s v="WM SUPERCENTER #3434"/>
    <x v="0"/>
    <s v="Sale"/>
    <n v="78.739999999999995"/>
    <x v="8"/>
    <n v="78.739999999999995"/>
    <n v="2025"/>
    <n v="7"/>
    <s v="2025-07"/>
    <d v="2025-07-13T00:00:00"/>
    <s v="Sunday   "/>
    <x v="1"/>
    <x v="0"/>
    <n v="534"/>
  </r>
  <r>
    <d v="2026-02-18T00:00:00"/>
    <s v="WAL-MART #1413"/>
    <x v="0"/>
    <s v="Sale"/>
    <n v="199.72"/>
    <x v="8"/>
    <n v="199.72"/>
    <n v="2026"/>
    <n v="2"/>
    <s v="2026-02"/>
    <d v="2026-02-18T00:00:00"/>
    <s v="Wednesday"/>
    <x v="1"/>
    <x v="0"/>
    <n v="411"/>
  </r>
  <r>
    <d v="2025-10-21T00:00:00"/>
    <s v="WALMART.COM 800-925-6278 AR"/>
    <x v="0"/>
    <s v="Sale"/>
    <n v="36.51"/>
    <x v="8"/>
    <n v="36.51"/>
    <n v="2025"/>
    <n v="10"/>
    <s v="2025-10"/>
    <d v="2025-10-21T00:00:00"/>
    <s v="Tuesday  "/>
    <x v="1"/>
    <x v="0"/>
    <n v="661"/>
  </r>
  <r>
    <d v="2025-06-23T00:00:00"/>
    <s v="KOHL'S #0320 CRYSTAL LAKE IL_x000a_5CZUSQKEUD7_x000a_82641258_x000a_6TWBZZ9ILAE"/>
    <x v="0"/>
    <s v="Return"/>
    <n v="-32.450000000000003"/>
    <x v="34"/>
    <n v="32.450000000000003"/>
    <n v="2025"/>
    <n v="6"/>
    <s v="2025-06"/>
    <d v="2025-06-23T00:00:00"/>
    <s v="Monday   "/>
    <x v="0"/>
    <x v="0"/>
    <n v="690"/>
  </r>
  <r>
    <d v="2025-11-07T00:00:00"/>
    <s v="WAL-MART #3434"/>
    <x v="0"/>
    <s v="Sale"/>
    <n v="140.65"/>
    <x v="8"/>
    <n v="140.65"/>
    <n v="2025"/>
    <n v="11"/>
    <s v="2025-11"/>
    <d v="2025-11-07T00:00:00"/>
    <s v="Friday   "/>
    <x v="1"/>
    <x v="0"/>
    <n v="1302"/>
  </r>
  <r>
    <d v="2026-03-25T00:00:00"/>
    <s v="WALMART STORE 03434 WOODSTOCK IL"/>
    <x v="0"/>
    <s v="Sale"/>
    <n v="115.62"/>
    <x v="8"/>
    <n v="115.62"/>
    <n v="2026"/>
    <n v="3"/>
    <s v="2026-03"/>
    <d v="2026-03-25T00:00:00"/>
    <s v="Wednesday"/>
    <x v="1"/>
    <x v="0"/>
    <n v="598"/>
  </r>
  <r>
    <d v="2026-03-31T00:00:00"/>
    <s v="DD/BR #340391 Q35 WOODSTOCK IL"/>
    <x v="3"/>
    <s v="Sale"/>
    <n v="7.21"/>
    <x v="4"/>
    <n v="7.21"/>
    <n v="2026"/>
    <n v="3"/>
    <s v="2026-03"/>
    <d v="2026-03-31T00:00:00"/>
    <s v="Tuesday  "/>
    <x v="1"/>
    <x v="0"/>
    <n v="656"/>
  </r>
  <r>
    <d v="2025-10-18T00:00:00"/>
    <s v="DOMINO'S 2990 ALGONQUIN IL"/>
    <x v="3"/>
    <s v="Sale"/>
    <n v="15.13"/>
    <x v="35"/>
    <n v="15.13"/>
    <n v="2025"/>
    <n v="10"/>
    <s v="2025-10"/>
    <d v="2025-10-18T00:00:00"/>
    <s v="Saturday "/>
    <x v="1"/>
    <x v="0"/>
    <n v="657"/>
  </r>
  <r>
    <d v="2025-10-01T00:00:00"/>
    <s v="JIMMY JOHNS - 0585 - ECO WOODSTOCK IL"/>
    <x v="3"/>
    <s v="Sale"/>
    <n v="20.47"/>
    <x v="36"/>
    <n v="20.47"/>
    <n v="2025"/>
    <n v="10"/>
    <s v="2025-10"/>
    <d v="2025-10-01T00:00:00"/>
    <s v="Wednesday"/>
    <x v="1"/>
    <x v="0"/>
    <n v="659"/>
  </r>
  <r>
    <d v="2025-07-26T00:00:00"/>
    <s v="WM SUPERCENTER #4286"/>
    <x v="0"/>
    <s v="Return"/>
    <n v="-14.81"/>
    <x v="8"/>
    <n v="14.81"/>
    <n v="2025"/>
    <n v="7"/>
    <s v="2025-07"/>
    <d v="2025-07-26T00:00:00"/>
    <s v="Saturday "/>
    <x v="0"/>
    <x v="0"/>
    <n v="531"/>
  </r>
  <r>
    <d v="2025-06-14T00:00:00"/>
    <s v="SQ *ENVIRONMENTAL DEFENDE"/>
    <x v="0"/>
    <s v="Sale"/>
    <n v="70.25"/>
    <x v="37"/>
    <n v="70.25"/>
    <n v="2025"/>
    <n v="6"/>
    <s v="2025-06"/>
    <d v="2025-06-14T00:00:00"/>
    <s v="Saturday "/>
    <x v="1"/>
    <x v="0"/>
    <n v="1279"/>
  </r>
  <r>
    <d v="2025-06-29T00:00:00"/>
    <s v="WM SUPERCENTER #1413"/>
    <x v="0"/>
    <s v="Sale"/>
    <n v="59.62"/>
    <x v="8"/>
    <n v="59.62"/>
    <n v="2025"/>
    <n v="6"/>
    <s v="2025-06"/>
    <d v="2025-06-29T00:00:00"/>
    <s v="Sunday   "/>
    <x v="1"/>
    <x v="0"/>
    <n v="595"/>
  </r>
  <r>
    <d v="2025-05-27T00:00:00"/>
    <s v="WAL-MART #3434"/>
    <x v="0"/>
    <s v="Sale"/>
    <n v="232.94"/>
    <x v="8"/>
    <n v="232.94"/>
    <n v="2025"/>
    <n v="5"/>
    <s v="2025-05"/>
    <d v="2025-05-27T00:00:00"/>
    <s v="Tuesday  "/>
    <x v="1"/>
    <x v="0"/>
    <n v="571"/>
  </r>
  <r>
    <d v="2026-02-10T00:00:00"/>
    <s v="SQ *SALTY SIREN TOURS  LL"/>
    <x v="1"/>
    <s v="Sale"/>
    <n v="111.24"/>
    <x v="38"/>
    <n v="111.24"/>
    <n v="2026"/>
    <n v="2"/>
    <s v="2026-02"/>
    <d v="2026-02-10T00:00:00"/>
    <s v="Tuesday  "/>
    <x v="1"/>
    <x v="0"/>
    <n v="992"/>
  </r>
  <r>
    <d v="2025-08-25T00:00:00"/>
    <s v="ALLIANZ EVENT INS 800-424-3396 VA"/>
    <x v="8"/>
    <s v="Sale"/>
    <n v="17.5"/>
    <x v="39"/>
    <n v="17.5"/>
    <n v="2025"/>
    <n v="8"/>
    <s v="2025-08"/>
    <d v="2025-08-25T00:00:00"/>
    <s v="Monday   "/>
    <x v="1"/>
    <x v="0"/>
    <n v="752"/>
  </r>
  <r>
    <d v="2025-12-19T00:00:00"/>
    <s v="TST*IMPROV COMEDY CLUB -"/>
    <x v="8"/>
    <s v="Sale"/>
    <n v="38.979999999999997"/>
    <x v="29"/>
    <n v="38.979999999999997"/>
    <n v="2025"/>
    <n v="12"/>
    <s v="2025-12"/>
    <d v="2025-12-19T00:00:00"/>
    <s v="Friday   "/>
    <x v="1"/>
    <x v="0"/>
    <n v="755"/>
  </r>
  <r>
    <d v="2025-06-22T00:00:00"/>
    <s v="SQ *MUDHOUSE COFFEE"/>
    <x v="3"/>
    <s v="Sale"/>
    <n v="8.2799999999999994"/>
    <x v="40"/>
    <n v="8.2799999999999994"/>
    <n v="2025"/>
    <n v="6"/>
    <s v="2025-06"/>
    <d v="2025-06-22T00:00:00"/>
    <s v="Sunday   "/>
    <x v="1"/>
    <x v="0"/>
    <n v="1276"/>
  </r>
  <r>
    <d v="2025-05-23T00:00:00"/>
    <s v="SQ *XTREMEWHEELSFUNCENTER"/>
    <x v="8"/>
    <s v="Sale"/>
    <n v="18"/>
    <x v="41"/>
    <n v="18"/>
    <n v="2025"/>
    <n v="5"/>
    <s v="2025-05"/>
    <d v="2025-05-23T00:00:00"/>
    <s v="Friday   "/>
    <x v="1"/>
    <x v="0"/>
    <n v="1314"/>
  </r>
  <r>
    <d v="2025-05-23T00:00:00"/>
    <s v="SQ *XTREMEWHEELSFUNCENTER"/>
    <x v="8"/>
    <s v="Sale"/>
    <n v="6"/>
    <x v="41"/>
    <n v="6"/>
    <n v="2025"/>
    <n v="5"/>
    <s v="2025-05"/>
    <d v="2025-05-23T00:00:00"/>
    <s v="Friday   "/>
    <x v="1"/>
    <x v="0"/>
    <n v="464"/>
  </r>
  <r>
    <d v="2025-05-23T00:00:00"/>
    <s v="SQ *XTREMEWHEELSFUNCENTER"/>
    <x v="8"/>
    <s v="Sale"/>
    <n v="5"/>
    <x v="41"/>
    <n v="5"/>
    <n v="2025"/>
    <n v="5"/>
    <s v="2025-05"/>
    <d v="2025-05-23T00:00:00"/>
    <s v="Friday   "/>
    <x v="1"/>
    <x v="0"/>
    <n v="465"/>
  </r>
  <r>
    <d v="2025-08-03T00:00:00"/>
    <s v="SQ *THE CRAB SHACK"/>
    <x v="3"/>
    <s v="Sale"/>
    <n v="32.85"/>
    <x v="42"/>
    <n v="32.85"/>
    <n v="2025"/>
    <n v="8"/>
    <s v="2025-08"/>
    <d v="2025-08-03T00:00:00"/>
    <s v="Sunday   "/>
    <x v="1"/>
    <x v="0"/>
    <n v="1221"/>
  </r>
  <r>
    <d v="2025-08-03T00:00:00"/>
    <s v="SQ *SKINNER?S AMUSEMENTS"/>
    <x v="3"/>
    <s v="Sale"/>
    <n v="13"/>
    <x v="43"/>
    <n v="13"/>
    <n v="2025"/>
    <n v="8"/>
    <s v="2025-08"/>
    <d v="2025-08-03T00:00:00"/>
    <s v="Sunday   "/>
    <x v="1"/>
    <x v="0"/>
    <n v="1222"/>
  </r>
  <r>
    <d v="2025-05-11T00:00:00"/>
    <s v="SQ *PSC @ CHICAGO DOGS -"/>
    <x v="3"/>
    <s v="Sale"/>
    <n v="7.79"/>
    <x v="44"/>
    <n v="7.79"/>
    <n v="2025"/>
    <n v="5"/>
    <s v="2025-05"/>
    <d v="2025-05-11T00:00:00"/>
    <s v="Sunday   "/>
    <x v="1"/>
    <x v="0"/>
    <n v="1331"/>
  </r>
  <r>
    <d v="2025-09-17T00:00:00"/>
    <s v="WM SUPERCENTER #1413"/>
    <x v="0"/>
    <s v="Return"/>
    <n v="-16.239999999999998"/>
    <x v="8"/>
    <n v="16.239999999999998"/>
    <n v="2025"/>
    <n v="9"/>
    <s v="2025-09"/>
    <d v="2025-09-17T00:00:00"/>
    <s v="Wednesday"/>
    <x v="0"/>
    <x v="0"/>
    <n v="592"/>
  </r>
  <r>
    <d v="2025-06-28T00:00:00"/>
    <s v="WAL-MART #1413"/>
    <x v="0"/>
    <s v="Sale"/>
    <n v="90.93"/>
    <x v="8"/>
    <n v="90.93"/>
    <n v="2025"/>
    <n v="6"/>
    <s v="2025-06"/>
    <d v="2025-06-28T00:00:00"/>
    <s v="Saturday "/>
    <x v="1"/>
    <x v="0"/>
    <n v="490"/>
  </r>
  <r>
    <d v="2025-12-13T00:00:00"/>
    <s v="WM SUPERCENTER #4286"/>
    <x v="0"/>
    <s v="Sale"/>
    <n v="242.72"/>
    <x v="8"/>
    <n v="242.72"/>
    <n v="2025"/>
    <n v="12"/>
    <s v="2025-12"/>
    <d v="2025-12-13T00:00:00"/>
    <s v="Saturday "/>
    <x v="1"/>
    <x v="0"/>
    <n v="203"/>
  </r>
  <r>
    <d v="2025-05-10T00:00:00"/>
    <s v="WAL-MART #3434"/>
    <x v="0"/>
    <s v="Sale"/>
    <n v="28.22"/>
    <x v="8"/>
    <n v="28.22"/>
    <n v="2025"/>
    <n v="5"/>
    <s v="2025-05"/>
    <d v="2025-05-10T00:00:00"/>
    <s v="Saturday "/>
    <x v="1"/>
    <x v="0"/>
    <n v="573"/>
  </r>
  <r>
    <d v="2026-03-22T00:00:00"/>
    <s v="bathandbodyworks.com"/>
    <x v="0"/>
    <s v="Sale"/>
    <n v="21.6"/>
    <x v="45"/>
    <n v="21.6"/>
    <n v="2026"/>
    <n v="3"/>
    <s v="2026-03"/>
    <d v="2026-03-22T00:00:00"/>
    <s v="Sunday   "/>
    <x v="1"/>
    <x v="0"/>
    <n v="972"/>
  </r>
  <r>
    <d v="2026-03-18T00:00:00"/>
    <s v="HP *INSTANT INK"/>
    <x v="0"/>
    <s v="Sale"/>
    <n v="14.09"/>
    <x v="46"/>
    <n v="14.09"/>
    <n v="2026"/>
    <n v="3"/>
    <s v="2026-03"/>
    <d v="2026-03-18T00:00:00"/>
    <s v="Wednesday"/>
    <x v="1"/>
    <x v="0"/>
    <n v="974"/>
  </r>
  <r>
    <d v="2026-03-08T00:00:00"/>
    <s v="PLAYITAGAINSP #11008"/>
    <x v="0"/>
    <s v="Sale"/>
    <n v="16.260000000000002"/>
    <x v="47"/>
    <n v="16.260000000000002"/>
    <n v="2026"/>
    <n v="3"/>
    <s v="2026-03"/>
    <d v="2026-03-08T00:00:00"/>
    <s v="Sunday   "/>
    <x v="1"/>
    <x v="0"/>
    <n v="977"/>
  </r>
  <r>
    <d v="2026-03-06T00:00:00"/>
    <s v="TST*THE VILLAGE SQUIRE-"/>
    <x v="3"/>
    <s v="Sale"/>
    <n v="65.040000000000006"/>
    <x v="48"/>
    <n v="65.040000000000006"/>
    <n v="2026"/>
    <n v="3"/>
    <s v="2026-03"/>
    <d v="2026-03-06T00:00:00"/>
    <s v="Friday   "/>
    <x v="1"/>
    <x v="0"/>
    <n v="976"/>
  </r>
  <r>
    <d v="2026-03-20T00:00:00"/>
    <s v="TST*TACO DALE CANTINA"/>
    <x v="3"/>
    <s v="Sale"/>
    <n v="38.14"/>
    <x v="49"/>
    <n v="38.14"/>
    <n v="2026"/>
    <n v="3"/>
    <s v="2026-03"/>
    <d v="2026-03-20T00:00:00"/>
    <s v="Friday   "/>
    <x v="1"/>
    <x v="0"/>
    <n v="967"/>
  </r>
  <r>
    <d v="2025-11-19T00:00:00"/>
    <s v="FARM &amp;amp; FLT OF WOODSTOCK"/>
    <x v="0"/>
    <s v="Sale"/>
    <n v="7.57"/>
    <x v="50"/>
    <n v="7.57"/>
    <n v="2025"/>
    <n v="11"/>
    <s v="2025-11"/>
    <d v="2025-11-19T00:00:00"/>
    <s v="Wednesday"/>
    <x v="1"/>
    <x v="0"/>
    <n v="1093"/>
  </r>
  <r>
    <d v="2025-11-15T00:00:00"/>
    <s v="OLDNAVY.COM"/>
    <x v="0"/>
    <s v="Sale"/>
    <n v="57.44"/>
    <x v="51"/>
    <n v="57.44"/>
    <n v="2025"/>
    <n v="11"/>
    <s v="2025-11"/>
    <d v="2025-11-15T00:00:00"/>
    <s v="Saturday "/>
    <x v="1"/>
    <x v="0"/>
    <n v="1095"/>
  </r>
  <r>
    <d v="2025-11-13T00:00:00"/>
    <s v="SCHOLASTIC BOOK FAIRS R4"/>
    <x v="0"/>
    <s v="Sale"/>
    <n v="24"/>
    <x v="52"/>
    <n v="24"/>
    <n v="2025"/>
    <n v="11"/>
    <s v="2025-11"/>
    <d v="2025-11-13T00:00:00"/>
    <s v="Thursday "/>
    <x v="1"/>
    <x v="0"/>
    <n v="1096"/>
  </r>
  <r>
    <d v="2025-11-11T00:00:00"/>
    <s v="YCC STORE 00378"/>
    <x v="0"/>
    <s v="Sale"/>
    <n v="45.37"/>
    <x v="53"/>
    <n v="45.37"/>
    <n v="2025"/>
    <n v="11"/>
    <s v="2025-11"/>
    <d v="2025-11-11T00:00:00"/>
    <s v="Tuesday  "/>
    <x v="1"/>
    <x v="0"/>
    <n v="1097"/>
  </r>
  <r>
    <d v="2025-11-11T00:00:00"/>
    <s v="ROGANS SHOES #5"/>
    <x v="0"/>
    <s v="Sale"/>
    <n v="142.43"/>
    <x v="54"/>
    <n v="142.43"/>
    <n v="2025"/>
    <n v="11"/>
    <s v="2025-11"/>
    <d v="2025-11-11T00:00:00"/>
    <s v="Tuesday  "/>
    <x v="1"/>
    <x v="0"/>
    <n v="1098"/>
  </r>
  <r>
    <d v="2025-11-11T00:00:00"/>
    <s v="LANE BRYANT 4192"/>
    <x v="0"/>
    <s v="Sale"/>
    <n v="29.95"/>
    <x v="55"/>
    <n v="29.95"/>
    <n v="2025"/>
    <n v="11"/>
    <s v="2025-11"/>
    <d v="2025-11-11T00:00:00"/>
    <s v="Tuesday  "/>
    <x v="1"/>
    <x v="0"/>
    <n v="1099"/>
  </r>
  <r>
    <d v="2025-11-22T00:00:00"/>
    <s v="OUR FAMILY WIZARD"/>
    <x v="0"/>
    <s v="Sale"/>
    <n v="216"/>
    <x v="56"/>
    <n v="216"/>
    <n v="2025"/>
    <n v="11"/>
    <s v="2025-11"/>
    <d v="2025-11-22T00:00:00"/>
    <s v="Saturday "/>
    <x v="1"/>
    <x v="0"/>
    <n v="1109"/>
  </r>
  <r>
    <d v="2025-10-23T00:00:00"/>
    <s v="DOLLAR TREE"/>
    <x v="0"/>
    <s v="Sale"/>
    <n v="88.75"/>
    <x v="26"/>
    <n v="88.75"/>
    <n v="2025"/>
    <n v="10"/>
    <s v="2025-10"/>
    <d v="2025-10-23T00:00:00"/>
    <s v="Thursday "/>
    <x v="1"/>
    <x v="0"/>
    <n v="1111"/>
  </r>
  <r>
    <d v="2026-02-26T00:00:00"/>
    <s v="JOSTENS INC."/>
    <x v="0"/>
    <s v="Sale"/>
    <n v="40.99"/>
    <x v="57"/>
    <n v="40.99"/>
    <n v="2026"/>
    <n v="2"/>
    <s v="2026-02"/>
    <d v="2026-02-26T00:00:00"/>
    <s v="Thursday "/>
    <x v="1"/>
    <x v="0"/>
    <n v="981"/>
  </r>
  <r>
    <d v="2026-03-17T00:00:00"/>
    <s v="FIVE BELOW 703"/>
    <x v="0"/>
    <s v="Sale"/>
    <n v="51.81"/>
    <x v="58"/>
    <n v="51.81"/>
    <n v="2026"/>
    <n v="3"/>
    <s v="2026-03"/>
    <d v="2026-03-17T00:00:00"/>
    <s v="Tuesday  "/>
    <x v="1"/>
    <x v="0"/>
    <n v="986"/>
  </r>
  <r>
    <d v="2026-02-18T00:00:00"/>
    <s v="HP *INSTANT INK"/>
    <x v="0"/>
    <s v="Sale"/>
    <n v="5.96"/>
    <x v="46"/>
    <n v="5.96"/>
    <n v="2026"/>
    <n v="2"/>
    <s v="2026-02"/>
    <d v="2026-02-18T00:00:00"/>
    <s v="Wednesday"/>
    <x v="1"/>
    <x v="0"/>
    <n v="987"/>
  </r>
  <r>
    <d v="2026-03-16T00:00:00"/>
    <s v="SignUp *SaveTheManatee5k"/>
    <x v="7"/>
    <s v="Sale"/>
    <n v="58.08"/>
    <x v="22"/>
    <n v="58.08"/>
    <n v="2026"/>
    <n v="3"/>
    <s v="2026-03"/>
    <d v="2026-03-16T00:00:00"/>
    <s v="Monday   "/>
    <x v="1"/>
    <x v="0"/>
    <n v="1013"/>
  </r>
  <r>
    <d v="2026-03-22T00:00:00"/>
    <s v="2112 GREAT CLIPS AT COUNT"/>
    <x v="4"/>
    <s v="Sale"/>
    <n v="17.989999999999998"/>
    <x v="9"/>
    <n v="17.989999999999998"/>
    <n v="2026"/>
    <n v="3"/>
    <s v="2026-03"/>
    <d v="2026-03-22T00:00:00"/>
    <s v="Sunday   "/>
    <x v="1"/>
    <x v="1"/>
    <n v="1065"/>
  </r>
  <r>
    <d v="2026-01-30T00:00:00"/>
    <s v="DOLLARTREE"/>
    <x v="0"/>
    <s v="Sale"/>
    <n v="21.33"/>
    <x v="2"/>
    <n v="21.33"/>
    <n v="2026"/>
    <n v="1"/>
    <s v="2026-01"/>
    <d v="2026-01-30T00:00:00"/>
    <s v="Friday   "/>
    <x v="1"/>
    <x v="0"/>
    <n v="1040"/>
  </r>
  <r>
    <d v="2026-01-18T00:00:00"/>
    <s v="COLOR ME MINE - CRYSTAL L"/>
    <x v="0"/>
    <s v="Sale"/>
    <n v="79.680000000000007"/>
    <x v="59"/>
    <n v="79.680000000000007"/>
    <n v="2026"/>
    <n v="1"/>
    <s v="2026-01"/>
    <d v="2026-01-18T00:00:00"/>
    <s v="Sunday   "/>
    <x v="1"/>
    <x v="0"/>
    <n v="1041"/>
  </r>
  <r>
    <d v="2026-01-17T00:00:00"/>
    <s v="OLDNAVY.COM"/>
    <x v="0"/>
    <s v="Return"/>
    <n v="-34.72"/>
    <x v="51"/>
    <n v="34.72"/>
    <n v="2026"/>
    <n v="1"/>
    <s v="2026-01"/>
    <d v="2026-01-17T00:00:00"/>
    <s v="Saturday "/>
    <x v="0"/>
    <x v="0"/>
    <n v="1044"/>
  </r>
  <r>
    <d v="2025-12-28T00:00:00"/>
    <s v="DOLLARTREE"/>
    <x v="0"/>
    <s v="Sale"/>
    <n v="41.67"/>
    <x v="2"/>
    <n v="41.67"/>
    <n v="2025"/>
    <n v="12"/>
    <s v="2025-12"/>
    <d v="2025-12-28T00:00:00"/>
    <s v="Sunday   "/>
    <x v="1"/>
    <x v="0"/>
    <n v="1045"/>
  </r>
  <r>
    <d v="2026-01-06T00:00:00"/>
    <s v="ALDI 40084 WOODSTOCK"/>
    <x v="9"/>
    <s v="Sale"/>
    <n v="22.85"/>
    <x v="60"/>
    <n v="22.85"/>
    <n v="2026"/>
    <n v="1"/>
    <s v="2026-01"/>
    <d v="2026-01-06T00:00:00"/>
    <s v="Tuesday  "/>
    <x v="1"/>
    <x v="1"/>
    <n v="395"/>
  </r>
  <r>
    <d v="2025-12-31T00:00:00"/>
    <s v="KOHL'S #1467"/>
    <x v="0"/>
    <s v="Sale"/>
    <n v="24.19"/>
    <x v="34"/>
    <n v="24.19"/>
    <n v="2025"/>
    <n v="12"/>
    <s v="2025-12"/>
    <d v="2025-12-31T00:00:00"/>
    <s v="Wednesday"/>
    <x v="1"/>
    <x v="0"/>
    <n v="1046"/>
  </r>
  <r>
    <d v="2025-12-18T00:00:00"/>
    <s v="DOLLARTREE"/>
    <x v="0"/>
    <s v="Sale"/>
    <n v="33.26"/>
    <x v="2"/>
    <n v="33.26"/>
    <n v="2025"/>
    <n v="12"/>
    <s v="2025-12"/>
    <d v="2025-12-18T00:00:00"/>
    <s v="Thursday "/>
    <x v="1"/>
    <x v="0"/>
    <n v="1047"/>
  </r>
  <r>
    <d v="2025-12-30T00:00:00"/>
    <s v="ALDI 40084 WOODSTOCK"/>
    <x v="9"/>
    <s v="Sale"/>
    <n v="6.68"/>
    <x v="60"/>
    <n v="6.68"/>
    <n v="2025"/>
    <n v="12"/>
    <s v="2025-12"/>
    <d v="2025-12-30T00:00:00"/>
    <s v="Tuesday  "/>
    <x v="1"/>
    <x v="1"/>
    <n v="396"/>
  </r>
  <r>
    <d v="2025-05-19T00:00:00"/>
    <s v="CASEYS #3835"/>
    <x v="5"/>
    <s v="Sale"/>
    <n v="22.6"/>
    <x v="18"/>
    <n v="22.6"/>
    <n v="2025"/>
    <n v="5"/>
    <s v="2025-05"/>
    <d v="2025-05-19T00:00:00"/>
    <s v="Monday   "/>
    <x v="1"/>
    <x v="1"/>
    <n v="397"/>
  </r>
  <r>
    <d v="2025-06-01T00:00:00"/>
    <s v="SAMSCLUB #6339"/>
    <x v="5"/>
    <s v="Sale"/>
    <n v="54.66"/>
    <x v="61"/>
    <n v="54.66"/>
    <n v="2025"/>
    <n v="6"/>
    <s v="2025-06"/>
    <d v="2025-06-01T00:00:00"/>
    <s v="Sunday   "/>
    <x v="1"/>
    <x v="1"/>
    <n v="1313"/>
  </r>
  <r>
    <d v="2026-03-13T00:00:00"/>
    <s v="DR MATTS OFFICE"/>
    <x v="4"/>
    <s v="Sale"/>
    <n v="41.42"/>
    <x v="15"/>
    <n v="41.42"/>
    <n v="2026"/>
    <n v="3"/>
    <s v="2026-03"/>
    <d v="2026-03-13T00:00:00"/>
    <s v="Friday   "/>
    <x v="1"/>
    <x v="1"/>
    <n v="399"/>
  </r>
  <r>
    <d v="2025-12-27T00:00:00"/>
    <s v="bathandbodyworks.com"/>
    <x v="0"/>
    <s v="Sale"/>
    <n v="33.409999999999997"/>
    <x v="45"/>
    <n v="33.409999999999997"/>
    <n v="2025"/>
    <n v="12"/>
    <s v="2025-12"/>
    <d v="2025-12-27T00:00:00"/>
    <s v="Saturday "/>
    <x v="1"/>
    <x v="0"/>
    <n v="1048"/>
  </r>
  <r>
    <d v="2026-03-09T00:00:00"/>
    <s v="REBECCA LEIFELD MA  LCPC"/>
    <x v="4"/>
    <s v="Sale"/>
    <n v="20"/>
    <x v="62"/>
    <n v="20"/>
    <n v="2026"/>
    <n v="3"/>
    <s v="2026-03"/>
    <d v="2026-03-09T00:00:00"/>
    <s v="Monday   "/>
    <x v="1"/>
    <x v="1"/>
    <n v="400"/>
  </r>
  <r>
    <d v="2025-12-23T00:00:00"/>
    <s v="FARM &amp;amp; FLT OF WOODSTOCK"/>
    <x v="0"/>
    <s v="Sale"/>
    <n v="21.53"/>
    <x v="50"/>
    <n v="21.53"/>
    <n v="2025"/>
    <n v="12"/>
    <s v="2025-12"/>
    <d v="2025-12-23T00:00:00"/>
    <s v="Tuesday  "/>
    <x v="1"/>
    <x v="0"/>
    <n v="1049"/>
  </r>
  <r>
    <d v="2025-12-18T00:00:00"/>
    <s v="FIVE BELOW 703"/>
    <x v="0"/>
    <s v="Sale"/>
    <n v="16.28"/>
    <x v="58"/>
    <n v="16.28"/>
    <n v="2025"/>
    <n v="12"/>
    <s v="2025-12"/>
    <d v="2025-12-18T00:00:00"/>
    <s v="Thursday "/>
    <x v="1"/>
    <x v="0"/>
    <n v="1050"/>
  </r>
  <r>
    <d v="2025-12-21T00:00:00"/>
    <s v="SP PULSE OF POTENTIAL"/>
    <x v="0"/>
    <s v="Sale"/>
    <n v="50.07"/>
    <x v="63"/>
    <n v="50.07"/>
    <n v="2025"/>
    <n v="12"/>
    <s v="2025-12"/>
    <d v="2025-12-21T00:00:00"/>
    <s v="Sunday   "/>
    <x v="1"/>
    <x v="0"/>
    <n v="1051"/>
  </r>
  <r>
    <d v="2025-12-21T00:00:00"/>
    <s v="SP PULSE OF POTENTIAL"/>
    <x v="0"/>
    <s v="Sale"/>
    <n v="106.02"/>
    <x v="63"/>
    <n v="106.02"/>
    <n v="2025"/>
    <n v="12"/>
    <s v="2025-12"/>
    <d v="2025-12-21T00:00:00"/>
    <s v="Sunday   "/>
    <x v="1"/>
    <x v="0"/>
    <n v="1052"/>
  </r>
  <r>
    <d v="2026-02-24T00:00:00"/>
    <s v="PANERA BREAD #204024 P"/>
    <x v="3"/>
    <s v="Sale"/>
    <n v="14.85"/>
    <x v="64"/>
    <n v="14.85"/>
    <n v="2026"/>
    <n v="2"/>
    <s v="2026-02"/>
    <d v="2026-02-24T00:00:00"/>
    <s v="Tuesday  "/>
    <x v="1"/>
    <x v="0"/>
    <n v="982"/>
  </r>
  <r>
    <d v="2026-02-12T00:00:00"/>
    <s v="WENDY'S #0507"/>
    <x v="3"/>
    <s v="Sale"/>
    <n v="11.24"/>
    <x v="30"/>
    <n v="11.24"/>
    <n v="2026"/>
    <n v="2"/>
    <s v="2026-02"/>
    <d v="2026-02-12T00:00:00"/>
    <s v="Thursday "/>
    <x v="1"/>
    <x v="0"/>
    <n v="988"/>
  </r>
  <r>
    <d v="2026-02-11T00:00:00"/>
    <s v="PANERA BREAD #202795 P"/>
    <x v="3"/>
    <s v="Sale"/>
    <n v="13.73"/>
    <x v="64"/>
    <n v="13.73"/>
    <n v="2026"/>
    <n v="2"/>
    <s v="2026-02"/>
    <d v="2026-02-11T00:00:00"/>
    <s v="Wednesday"/>
    <x v="1"/>
    <x v="0"/>
    <n v="995"/>
  </r>
  <r>
    <d v="2025-11-08T00:00:00"/>
    <s v="FIVE BELOW 703"/>
    <x v="0"/>
    <s v="Sale"/>
    <n v="68.239999999999995"/>
    <x v="58"/>
    <n v="68.239999999999995"/>
    <n v="2025"/>
    <n v="11"/>
    <s v="2025-11"/>
    <d v="2025-11-08T00:00:00"/>
    <s v="Saturday "/>
    <x v="1"/>
    <x v="0"/>
    <n v="1112"/>
  </r>
  <r>
    <d v="2025-11-26T00:00:00"/>
    <s v="TORRID #5229"/>
    <x v="0"/>
    <s v="Return"/>
    <n v="-85.5"/>
    <x v="65"/>
    <n v="85.5"/>
    <n v="2025"/>
    <n v="11"/>
    <s v="2025-11"/>
    <d v="2025-11-26T00:00:00"/>
    <s v="Wednesday"/>
    <x v="0"/>
    <x v="0"/>
    <n v="1132"/>
  </r>
  <r>
    <d v="2025-11-26T00:00:00"/>
    <s v="TORRID #5229"/>
    <x v="0"/>
    <s v="Return"/>
    <n v="-81.63"/>
    <x v="65"/>
    <n v="81.63"/>
    <n v="2025"/>
    <n v="11"/>
    <s v="2025-11"/>
    <d v="2025-11-26T00:00:00"/>
    <s v="Wednesday"/>
    <x v="0"/>
    <x v="0"/>
    <n v="1133"/>
  </r>
  <r>
    <d v="2025-11-14T00:00:00"/>
    <s v="WWW.TORRID.COM"/>
    <x v="0"/>
    <s v="Sale"/>
    <n v="122"/>
    <x v="65"/>
    <n v="122"/>
    <n v="2025"/>
    <n v="11"/>
    <s v="2025-11"/>
    <d v="2025-11-14T00:00:00"/>
    <s v="Friday   "/>
    <x v="1"/>
    <x v="0"/>
    <n v="1134"/>
  </r>
  <r>
    <d v="2025-11-11T00:00:00"/>
    <s v="TORRID #5781"/>
    <x v="0"/>
    <s v="Sale"/>
    <n v="85.84"/>
    <x v="65"/>
    <n v="85.84"/>
    <n v="2025"/>
    <n v="11"/>
    <s v="2025-11"/>
    <d v="2025-11-11T00:00:00"/>
    <s v="Tuesday  "/>
    <x v="1"/>
    <x v="0"/>
    <n v="1135"/>
  </r>
  <r>
    <d v="2026-01-30T00:00:00"/>
    <s v="MENARDS WOODSTOCK IL"/>
    <x v="0"/>
    <s v="Return"/>
    <n v="-20.56"/>
    <x v="66"/>
    <n v="20.56"/>
    <n v="2026"/>
    <n v="1"/>
    <s v="2026-01"/>
    <d v="2026-01-30T00:00:00"/>
    <s v="Friday   "/>
    <x v="0"/>
    <x v="0"/>
    <n v="1136"/>
  </r>
  <r>
    <d v="2026-01-13T00:00:00"/>
    <s v="MENARDS WOODSTOCK IL"/>
    <x v="0"/>
    <s v="Sale"/>
    <n v="10.84"/>
    <x v="66"/>
    <n v="10.84"/>
    <n v="2026"/>
    <n v="1"/>
    <s v="2026-01"/>
    <d v="2026-01-13T00:00:00"/>
    <s v="Tuesday  "/>
    <x v="1"/>
    <x v="0"/>
    <n v="1137"/>
  </r>
  <r>
    <d v="2025-12-31T00:00:00"/>
    <s v="MENARDS WOODSTOCK IL"/>
    <x v="0"/>
    <s v="Return"/>
    <n v="-69.319999999999993"/>
    <x v="66"/>
    <n v="69.319999999999993"/>
    <n v="2025"/>
    <n v="12"/>
    <s v="2025-12"/>
    <d v="2025-12-31T00:00:00"/>
    <s v="Wednesday"/>
    <x v="0"/>
    <x v="0"/>
    <n v="1138"/>
  </r>
  <r>
    <d v="2025-12-23T00:00:00"/>
    <s v="MENARDS WOODSTOCK IL"/>
    <x v="0"/>
    <s v="Sale"/>
    <n v="56.26"/>
    <x v="66"/>
    <n v="56.26"/>
    <n v="2025"/>
    <n v="12"/>
    <s v="2025-12"/>
    <d v="2025-12-23T00:00:00"/>
    <s v="Tuesday  "/>
    <x v="1"/>
    <x v="0"/>
    <n v="1139"/>
  </r>
  <r>
    <d v="2026-03-03T00:00:00"/>
    <s v="JEWEL OSCO 3503"/>
    <x v="9"/>
    <s v="Sale"/>
    <n v="26.02"/>
    <x v="67"/>
    <n v="26.02"/>
    <n v="2026"/>
    <n v="3"/>
    <s v="2026-03"/>
    <d v="2026-03-03T00:00:00"/>
    <s v="Tuesday  "/>
    <x v="1"/>
    <x v="1"/>
    <n v="401"/>
  </r>
  <r>
    <d v="2025-10-10T00:00:00"/>
    <s v="LIONS DEN 27"/>
    <x v="0"/>
    <s v="Sale"/>
    <n v="22.35"/>
    <x v="68"/>
    <n v="22.35"/>
    <n v="2025"/>
    <n v="10"/>
    <s v="2025-10"/>
    <d v="2025-10-10T00:00:00"/>
    <s v="Friday   "/>
    <x v="1"/>
    <x v="0"/>
    <n v="1147"/>
  </r>
  <r>
    <d v="2026-02-20T00:00:00"/>
    <s v="REBECCA LEIFELD MA  LCPC"/>
    <x v="4"/>
    <s v="Sale"/>
    <n v="60"/>
    <x v="62"/>
    <n v="60"/>
    <n v="2026"/>
    <n v="2"/>
    <s v="2026-02"/>
    <d v="2026-02-20T00:00:00"/>
    <s v="Friday   "/>
    <x v="1"/>
    <x v="1"/>
    <n v="403"/>
  </r>
  <r>
    <d v="2026-02-18T00:00:00"/>
    <s v="CASEYS #3539"/>
    <x v="5"/>
    <s v="Sale"/>
    <n v="45.7"/>
    <x v="18"/>
    <n v="45.7"/>
    <n v="2026"/>
    <n v="2"/>
    <s v="2026-02"/>
    <d v="2026-02-18T00:00:00"/>
    <s v="Wednesday"/>
    <x v="1"/>
    <x v="1"/>
    <n v="404"/>
  </r>
  <r>
    <d v="2026-01-20T00:00:00"/>
    <s v="FSP*ALL SAFE SELF STORAG LAKE IN THE HIL_x000a_ESM0PEZDWO7WSOQXN1EDY7"/>
    <x v="6"/>
    <s v="Sale"/>
    <n v="138.6"/>
    <x v="19"/>
    <n v="138.6"/>
    <n v="2026"/>
    <n v="1"/>
    <s v="2026-01"/>
    <d v="2026-01-20T00:00:00"/>
    <s v="Tuesday  "/>
    <x v="1"/>
    <x v="1"/>
    <n v="1450"/>
  </r>
  <r>
    <d v="2026-02-14T00:00:00"/>
    <s v="RAPID RINSE CAR WASH"/>
    <x v="10"/>
    <s v="Sale"/>
    <n v="7"/>
    <x v="69"/>
    <n v="7"/>
    <n v="2026"/>
    <n v="2"/>
    <s v="2026-02"/>
    <d v="2026-02-14T00:00:00"/>
    <s v="Saturday "/>
    <x v="1"/>
    <x v="1"/>
    <n v="406"/>
  </r>
  <r>
    <d v="2025-12-20T00:00:00"/>
    <s v="FSP*ALL SAFE SELF STORAG LAKE IN THE HIL"/>
    <x v="6"/>
    <s v="Sale"/>
    <n v="138.6"/>
    <x v="19"/>
    <n v="138.6"/>
    <n v="2025"/>
    <n v="12"/>
    <s v="2025-12"/>
    <d v="2025-12-20T00:00:00"/>
    <s v="Saturday "/>
    <x v="1"/>
    <x v="1"/>
    <n v="1451"/>
  </r>
  <r>
    <d v="2026-02-09T00:00:00"/>
    <s v="BP#6772867SUNSHINE # 148"/>
    <x v="5"/>
    <s v="Sale"/>
    <n v="33.11"/>
    <x v="70"/>
    <n v="33.11"/>
    <n v="2026"/>
    <n v="2"/>
    <s v="2026-02"/>
    <d v="2026-02-09T00:00:00"/>
    <s v="Monday   "/>
    <x v="1"/>
    <x v="1"/>
    <n v="408"/>
  </r>
  <r>
    <d v="2026-02-07T00:00:00"/>
    <s v="CHEVRON 0304793"/>
    <x v="5"/>
    <s v="Sale"/>
    <n v="15.68"/>
    <x v="71"/>
    <n v="15.68"/>
    <n v="2026"/>
    <n v="2"/>
    <s v="2026-02"/>
    <d v="2026-02-07T00:00:00"/>
    <s v="Saturday "/>
    <x v="1"/>
    <x v="1"/>
    <n v="409"/>
  </r>
  <r>
    <d v="2026-02-07T00:00:00"/>
    <s v="WAWA# 5283"/>
    <x v="5"/>
    <s v="Sale"/>
    <n v="10.79"/>
    <x v="72"/>
    <n v="10.79"/>
    <n v="2026"/>
    <n v="2"/>
    <s v="2026-02"/>
    <d v="2026-02-07T00:00:00"/>
    <s v="Saturday "/>
    <x v="1"/>
    <x v="1"/>
    <n v="410"/>
  </r>
  <r>
    <d v="2025-11-20T00:00:00"/>
    <s v="FSP*ALL SAFE SELF STORAG LAKE IN THE HIL"/>
    <x v="6"/>
    <s v="Sale"/>
    <n v="138.6"/>
    <x v="19"/>
    <n v="138.6"/>
    <n v="2025"/>
    <n v="11"/>
    <s v="2025-11"/>
    <d v="2025-11-20T00:00:00"/>
    <s v="Thursday "/>
    <x v="1"/>
    <x v="1"/>
    <n v="1452"/>
  </r>
  <r>
    <d v="2025-12-05T00:00:00"/>
    <s v="TRADER JOE S #699"/>
    <x v="9"/>
    <s v="Sale"/>
    <n v="25"/>
    <x v="73"/>
    <n v="25"/>
    <n v="2025"/>
    <n v="12"/>
    <s v="2025-12"/>
    <d v="2025-12-05T00:00:00"/>
    <s v="Friday   "/>
    <x v="1"/>
    <x v="1"/>
    <n v="413"/>
  </r>
  <r>
    <d v="2026-01-05T00:00:00"/>
    <s v="Derm Specialists IL"/>
    <x v="4"/>
    <s v="Sale"/>
    <n v="40"/>
    <x v="21"/>
    <n v="40"/>
    <n v="2026"/>
    <n v="1"/>
    <s v="2026-01"/>
    <d v="2026-01-05T00:00:00"/>
    <s v="Monday   "/>
    <x v="1"/>
    <x v="1"/>
    <n v="1035"/>
  </r>
  <r>
    <d v="2026-03-16T00:00:00"/>
    <s v="CRYSTAL LAKE PARK DISTRI"/>
    <x v="2"/>
    <s v="Sale"/>
    <n v="289.60000000000002"/>
    <x v="3"/>
    <n v="289.60000000000002"/>
    <n v="2026"/>
    <n v="3"/>
    <s v="2026-03"/>
    <d v="2026-03-16T00:00:00"/>
    <s v="Monday   "/>
    <x v="1"/>
    <x v="1"/>
    <n v="994"/>
  </r>
  <r>
    <d v="2026-03-16T00:00:00"/>
    <s v="CRYSTAL LAKE PARK DISTRI"/>
    <x v="2"/>
    <s v="Sale"/>
    <n v="362"/>
    <x v="3"/>
    <n v="362"/>
    <n v="2026"/>
    <n v="3"/>
    <s v="2026-03"/>
    <d v="2026-03-16T00:00:00"/>
    <s v="Monday   "/>
    <x v="1"/>
    <x v="1"/>
    <n v="1002"/>
  </r>
  <r>
    <d v="2025-10-08T00:00:00"/>
    <s v="BLAIN'S FARM &amp;amp; FLEET"/>
    <x v="0"/>
    <s v="Sale"/>
    <n v="6.4"/>
    <x v="74"/>
    <n v="6.4"/>
    <n v="2025"/>
    <n v="10"/>
    <s v="2025-10"/>
    <d v="2025-10-08T00:00:00"/>
    <s v="Wednesday"/>
    <x v="1"/>
    <x v="0"/>
    <n v="1151"/>
  </r>
  <r>
    <d v="2025-10-07T00:00:00"/>
    <s v="BLAIN'S FARM &amp;amp; FLEET"/>
    <x v="0"/>
    <s v="Sale"/>
    <n v="67.11"/>
    <x v="74"/>
    <n v="67.11"/>
    <n v="2025"/>
    <n v="10"/>
    <s v="2025-10"/>
    <d v="2025-10-07T00:00:00"/>
    <s v="Tuesday  "/>
    <x v="1"/>
    <x v="0"/>
    <n v="1153"/>
  </r>
  <r>
    <d v="2026-03-22T00:00:00"/>
    <s v="SHELL OIL 57445585201"/>
    <x v="5"/>
    <s v="Sale"/>
    <n v="70.8"/>
    <x v="75"/>
    <n v="70.8"/>
    <n v="2026"/>
    <n v="3"/>
    <s v="2026-03"/>
    <d v="2026-03-22T00:00:00"/>
    <s v="Sunday   "/>
    <x v="1"/>
    <x v="1"/>
    <n v="1004"/>
  </r>
  <r>
    <d v="2026-02-10T00:00:00"/>
    <s v="HOMOSASSA RETAIL &amp;amp; FERRY"/>
    <x v="1"/>
    <s v="Sale"/>
    <n v="113.78"/>
    <x v="76"/>
    <n v="113.78"/>
    <n v="2026"/>
    <n v="2"/>
    <s v="2026-02"/>
    <d v="2026-02-10T00:00:00"/>
    <s v="Tuesday  "/>
    <x v="1"/>
    <x v="0"/>
    <n v="990"/>
  </r>
  <r>
    <d v="2026-02-10T00:00:00"/>
    <s v="HOMOSASSA RETAIL &amp;amp; FERRY"/>
    <x v="1"/>
    <s v="Sale"/>
    <n v="18.2"/>
    <x v="76"/>
    <n v="18.2"/>
    <n v="2026"/>
    <n v="2"/>
    <s v="2026-02"/>
    <d v="2026-02-10T00:00:00"/>
    <s v="Tuesday  "/>
    <x v="1"/>
    <x v="0"/>
    <n v="991"/>
  </r>
  <r>
    <d v="2025-06-18T00:00:00"/>
    <s v="HYATT REGENCY ST.LOUIS F"/>
    <x v="1"/>
    <s v="Sale"/>
    <n v="7.01"/>
    <x v="77"/>
    <n v="7.01"/>
    <n v="2025"/>
    <n v="6"/>
    <s v="2025-06"/>
    <d v="2025-06-18T00:00:00"/>
    <s v="Wednesday"/>
    <x v="1"/>
    <x v="0"/>
    <n v="1280"/>
  </r>
  <r>
    <d v="2025-11-09T00:00:00"/>
    <s v="PAYPAL *BASIC FUN"/>
    <x v="0"/>
    <s v="Sale"/>
    <n v="6"/>
    <x v="78"/>
    <n v="6"/>
    <n v="2025"/>
    <n v="11"/>
    <s v="2025-11"/>
    <d v="2025-11-09T00:00:00"/>
    <s v="Sunday   "/>
    <x v="1"/>
    <x v="0"/>
    <n v="1102"/>
  </r>
  <r>
    <d v="2026-01-25T00:00:00"/>
    <s v="Audible*J83HO0883"/>
    <x v="8"/>
    <s v="Sale"/>
    <n v="14.95"/>
    <x v="79"/>
    <n v="14.95"/>
    <n v="2026"/>
    <n v="1"/>
    <s v="2026-01"/>
    <d v="2026-01-25T00:00:00"/>
    <s v="Sunday   "/>
    <x v="1"/>
    <x v="0"/>
    <n v="1066"/>
  </r>
  <r>
    <d v="2025-12-25T00:00:00"/>
    <s v="Audible*OP0ZK38N3"/>
    <x v="8"/>
    <s v="Sale"/>
    <n v="14.95"/>
    <x v="79"/>
    <n v="14.95"/>
    <n v="2025"/>
    <n v="12"/>
    <s v="2025-12"/>
    <d v="2025-12-25T00:00:00"/>
    <s v="Thursday "/>
    <x v="1"/>
    <x v="0"/>
    <n v="1067"/>
  </r>
  <r>
    <d v="2026-02-11T00:00:00"/>
    <s v="AMERICAN AIR0014485844826"/>
    <x v="1"/>
    <s v="Sale"/>
    <n v="35"/>
    <x v="80"/>
    <n v="35"/>
    <n v="2026"/>
    <n v="2"/>
    <s v="2026-02"/>
    <d v="2026-02-11T00:00:00"/>
    <s v="Wednesday"/>
    <x v="1"/>
    <x v="0"/>
    <n v="993"/>
  </r>
  <r>
    <d v="2026-02-09T00:00:00"/>
    <s v="LYFT   *1 RIDE 02-07"/>
    <x v="1"/>
    <s v="Sale"/>
    <n v="31.97"/>
    <x v="1"/>
    <n v="31.97"/>
    <n v="2026"/>
    <n v="2"/>
    <s v="2026-02"/>
    <d v="2026-02-09T00:00:00"/>
    <s v="Monday   "/>
    <x v="1"/>
    <x v="0"/>
    <n v="996"/>
  </r>
  <r>
    <d v="2026-02-11T00:00:00"/>
    <s v="AVIS RENT-A-CAR"/>
    <x v="1"/>
    <s v="Sale"/>
    <n v="16.309999999999999"/>
    <x v="81"/>
    <n v="16.309999999999999"/>
    <n v="2026"/>
    <n v="2"/>
    <s v="2026-02"/>
    <d v="2026-02-11T00:00:00"/>
    <s v="Wednesday"/>
    <x v="1"/>
    <x v="0"/>
    <n v="989"/>
  </r>
  <r>
    <d v="2026-01-17T00:00:00"/>
    <s v="AVIS.COM PREPAY"/>
    <x v="1"/>
    <s v="Sale"/>
    <n v="243.29"/>
    <x v="81"/>
    <n v="243.29"/>
    <n v="2026"/>
    <n v="1"/>
    <s v="2026-01"/>
    <d v="2026-01-17T00:00:00"/>
    <s v="Saturday "/>
    <x v="1"/>
    <x v="0"/>
    <n v="1043"/>
  </r>
  <r>
    <d v="2026-02-19T00:00:00"/>
    <s v="ETOLLAVIS U469418751"/>
    <x v="1"/>
    <s v="Sale"/>
    <n v="23.35"/>
    <x v="81"/>
    <n v="23.35"/>
    <n v="2026"/>
    <n v="2"/>
    <s v="2026-02"/>
    <d v="2026-02-19T00:00:00"/>
    <s v="Thursday "/>
    <x v="1"/>
    <x v="0"/>
    <n v="984"/>
  </r>
  <r>
    <d v="2025-11-22T00:00:00"/>
    <s v="WALGREENS #11944"/>
    <x v="4"/>
    <s v="Sale"/>
    <n v="10.84"/>
    <x v="82"/>
    <n v="10.84"/>
    <n v="2025"/>
    <n v="11"/>
    <s v="2025-11"/>
    <d v="2025-11-22T00:00:00"/>
    <s v="Saturday "/>
    <x v="1"/>
    <x v="1"/>
    <n v="414"/>
  </r>
  <r>
    <d v="2025-11-21T00:00:00"/>
    <s v="THORNTONS #221344"/>
    <x v="5"/>
    <s v="Sale"/>
    <n v="8.4"/>
    <x v="83"/>
    <n v="8.4"/>
    <n v="2025"/>
    <n v="11"/>
    <s v="2025-11"/>
    <d v="2025-11-21T00:00:00"/>
    <s v="Friday   "/>
    <x v="1"/>
    <x v="1"/>
    <n v="415"/>
  </r>
  <r>
    <d v="2025-11-15T00:00:00"/>
    <s v="REBECCA LEIFELD MA  LCPC"/>
    <x v="4"/>
    <s v="Sale"/>
    <n v="20"/>
    <x v="62"/>
    <n v="20"/>
    <n v="2025"/>
    <n v="11"/>
    <s v="2025-11"/>
    <d v="2025-11-15T00:00:00"/>
    <s v="Saturday "/>
    <x v="1"/>
    <x v="1"/>
    <n v="417"/>
  </r>
  <r>
    <d v="2025-11-04T00:00:00"/>
    <s v="LIFETIME VISION &amp;amp; CONT"/>
    <x v="4"/>
    <s v="Sale"/>
    <n v="45"/>
    <x v="84"/>
    <n v="45"/>
    <n v="2025"/>
    <n v="11"/>
    <s v="2025-11"/>
    <d v="2025-11-04T00:00:00"/>
    <s v="Tuesday  "/>
    <x v="1"/>
    <x v="1"/>
    <n v="418"/>
  </r>
  <r>
    <d v="2025-11-03T00:00:00"/>
    <s v="ADVOCATE PATIENT PAYMENT"/>
    <x v="4"/>
    <s v="Sale"/>
    <n v="40"/>
    <x v="85"/>
    <n v="40"/>
    <n v="2025"/>
    <n v="11"/>
    <s v="2025-11"/>
    <d v="2025-11-03T00:00:00"/>
    <s v="Monday   "/>
    <x v="1"/>
    <x v="1"/>
    <n v="419"/>
  </r>
  <r>
    <d v="2025-10-26T00:00:00"/>
    <s v="CASEYS #6907"/>
    <x v="5"/>
    <s v="Sale"/>
    <n v="53.88"/>
    <x v="18"/>
    <n v="53.88"/>
    <n v="2025"/>
    <n v="10"/>
    <s v="2025-10"/>
    <d v="2025-10-26T00:00:00"/>
    <s v="Sunday   "/>
    <x v="1"/>
    <x v="1"/>
    <n v="420"/>
  </r>
  <r>
    <d v="2025-11-12T00:00:00"/>
    <s v="The Law Office of Deni"/>
    <x v="11"/>
    <s v="Sale"/>
    <n v="469.25"/>
    <x v="86"/>
    <n v="469.25"/>
    <n v="2025"/>
    <n v="11"/>
    <s v="2025-11"/>
    <d v="2025-11-12T00:00:00"/>
    <s v="Wednesday"/>
    <x v="1"/>
    <x v="1"/>
    <n v="422"/>
  </r>
  <r>
    <d v="2025-11-21T00:00:00"/>
    <s v="MURPHY7579ATWALMART"/>
    <x v="5"/>
    <s v="Sale"/>
    <n v="43.89"/>
    <x v="87"/>
    <n v="43.89"/>
    <n v="2025"/>
    <n v="11"/>
    <s v="2025-11"/>
    <d v="2025-11-21T00:00:00"/>
    <s v="Friday   "/>
    <x v="1"/>
    <x v="1"/>
    <n v="425"/>
  </r>
  <r>
    <d v="2025-10-16T00:00:00"/>
    <s v="REBECCA LEIFELD MA  LCPC"/>
    <x v="4"/>
    <s v="Sale"/>
    <n v="20"/>
    <x v="62"/>
    <n v="20"/>
    <n v="2025"/>
    <n v="10"/>
    <s v="2025-10"/>
    <d v="2025-10-16T00:00:00"/>
    <s v="Thursday "/>
    <x v="1"/>
    <x v="1"/>
    <n v="426"/>
  </r>
  <r>
    <d v="2025-10-16T00:00:00"/>
    <s v="ATHANS &amp;amp; ASSOCIATES"/>
    <x v="4"/>
    <s v="Sale"/>
    <n v="20"/>
    <x v="88"/>
    <n v="20"/>
    <n v="2025"/>
    <n v="10"/>
    <s v="2025-10"/>
    <d v="2025-10-16T00:00:00"/>
    <s v="Thursday "/>
    <x v="1"/>
    <x v="1"/>
    <n v="427"/>
  </r>
  <r>
    <d v="2025-10-15T00:00:00"/>
    <s v="SHELL OIL 57444087209"/>
    <x v="5"/>
    <s v="Sale"/>
    <n v="52.92"/>
    <x v="75"/>
    <n v="52.92"/>
    <n v="2025"/>
    <n v="10"/>
    <s v="2025-10"/>
    <d v="2025-10-15T00:00:00"/>
    <s v="Wednesday"/>
    <x v="1"/>
    <x v="1"/>
    <n v="428"/>
  </r>
  <r>
    <d v="2025-10-11T00:00:00"/>
    <s v="ON THE RUN #517"/>
    <x v="5"/>
    <s v="Sale"/>
    <n v="38.5"/>
    <x v="89"/>
    <n v="38.5"/>
    <n v="2025"/>
    <n v="10"/>
    <s v="2025-10"/>
    <d v="2025-10-11T00:00:00"/>
    <s v="Saturday "/>
    <x v="1"/>
    <x v="1"/>
    <n v="429"/>
  </r>
  <r>
    <d v="2025-10-07T00:00:00"/>
    <s v="SHELL OIL 57445192701"/>
    <x v="5"/>
    <s v="Sale"/>
    <n v="41.66"/>
    <x v="75"/>
    <n v="41.66"/>
    <n v="2025"/>
    <n v="10"/>
    <s v="2025-10"/>
    <d v="2025-10-07T00:00:00"/>
    <s v="Tuesday  "/>
    <x v="1"/>
    <x v="1"/>
    <n v="430"/>
  </r>
  <r>
    <d v="2025-10-08T00:00:00"/>
    <s v="LOVE'S #0458 INSIDE"/>
    <x v="5"/>
    <s v="Sale"/>
    <n v="11.97"/>
    <x v="14"/>
    <n v="11.97"/>
    <n v="2025"/>
    <n v="10"/>
    <s v="2025-10"/>
    <d v="2025-10-08T00:00:00"/>
    <s v="Wednesday"/>
    <x v="1"/>
    <x v="1"/>
    <n v="431"/>
  </r>
  <r>
    <d v="2025-09-28T00:00:00"/>
    <s v="REBECCA LEIFELD MA  LCPC"/>
    <x v="4"/>
    <s v="Sale"/>
    <n v="20"/>
    <x v="62"/>
    <n v="20"/>
    <n v="2025"/>
    <n v="9"/>
    <s v="2025-09"/>
    <d v="2025-09-28T00:00:00"/>
    <s v="Sunday   "/>
    <x v="1"/>
    <x v="1"/>
    <n v="433"/>
  </r>
  <r>
    <d v="2025-09-24T00:00:00"/>
    <s v="SHELL OIL 57445192701"/>
    <x v="5"/>
    <s v="Sale"/>
    <n v="51.27"/>
    <x v="75"/>
    <n v="51.27"/>
    <n v="2025"/>
    <n v="9"/>
    <s v="2025-09"/>
    <d v="2025-09-24T00:00:00"/>
    <s v="Wednesday"/>
    <x v="1"/>
    <x v="1"/>
    <n v="434"/>
  </r>
  <r>
    <d v="2025-09-19T00:00:00"/>
    <s v="SHELL OIL 57445192701"/>
    <x v="5"/>
    <s v="Sale"/>
    <n v="54.72"/>
    <x v="75"/>
    <n v="54.72"/>
    <n v="2025"/>
    <n v="9"/>
    <s v="2025-09"/>
    <d v="2025-09-19T00:00:00"/>
    <s v="Friday   "/>
    <x v="1"/>
    <x v="1"/>
    <n v="435"/>
  </r>
  <r>
    <d v="2025-09-11T00:00:00"/>
    <s v="SHELL OIL 57444087209"/>
    <x v="5"/>
    <s v="Sale"/>
    <n v="59.27"/>
    <x v="75"/>
    <n v="59.27"/>
    <n v="2025"/>
    <n v="9"/>
    <s v="2025-09"/>
    <d v="2025-09-11T00:00:00"/>
    <s v="Thursday "/>
    <x v="1"/>
    <x v="1"/>
    <n v="436"/>
  </r>
  <r>
    <d v="2025-09-03T00:00:00"/>
    <s v="THORNTONS #0342"/>
    <x v="5"/>
    <s v="Sale"/>
    <n v="58.7"/>
    <x v="83"/>
    <n v="58.7"/>
    <n v="2025"/>
    <n v="9"/>
    <s v="2025-09"/>
    <d v="2025-09-03T00:00:00"/>
    <s v="Wednesday"/>
    <x v="1"/>
    <x v="1"/>
    <n v="439"/>
  </r>
  <r>
    <d v="2025-08-30T00:00:00"/>
    <s v="SHELL OIL 57445192701"/>
    <x v="5"/>
    <s v="Sale"/>
    <n v="56.23"/>
    <x v="75"/>
    <n v="56.23"/>
    <n v="2025"/>
    <n v="8"/>
    <s v="2025-08"/>
    <d v="2025-08-30T00:00:00"/>
    <s v="Saturday "/>
    <x v="1"/>
    <x v="1"/>
    <n v="440"/>
  </r>
  <r>
    <d v="2026-03-17T00:00:00"/>
    <s v="SAMS CLUB #6339"/>
    <x v="5"/>
    <s v="Sale"/>
    <n v="50.4"/>
    <x v="61"/>
    <n v="50.4"/>
    <n v="2026"/>
    <n v="3"/>
    <s v="2026-03"/>
    <d v="2026-03-17T00:00:00"/>
    <s v="Tuesday  "/>
    <x v="1"/>
    <x v="1"/>
    <n v="398"/>
  </r>
  <r>
    <d v="2025-08-22T00:00:00"/>
    <s v="SAMS CLUB #6339"/>
    <x v="5"/>
    <s v="Sale"/>
    <n v="39.69"/>
    <x v="61"/>
    <n v="39.69"/>
    <n v="2025"/>
    <n v="8"/>
    <s v="2025-08"/>
    <d v="2025-08-22T00:00:00"/>
    <s v="Friday   "/>
    <x v="1"/>
    <x v="1"/>
    <n v="450"/>
  </r>
  <r>
    <d v="2025-10-22T00:00:00"/>
    <s v="TARGET        00011668"/>
    <x v="4"/>
    <s v="Sale"/>
    <n v="15"/>
    <x v="90"/>
    <n v="15"/>
    <n v="2025"/>
    <n v="10"/>
    <s v="2025-10"/>
    <d v="2025-10-22T00:00:00"/>
    <s v="Wednesday"/>
    <x v="1"/>
    <x v="1"/>
    <n v="445"/>
  </r>
  <r>
    <d v="2025-08-26T00:00:00"/>
    <s v="WOODSTOCK CITGO"/>
    <x v="5"/>
    <s v="Sale"/>
    <n v="44.11"/>
    <x v="91"/>
    <n v="44.11"/>
    <n v="2025"/>
    <n v="8"/>
    <s v="2025-08"/>
    <d v="2025-08-26T00:00:00"/>
    <s v="Tuesday  "/>
    <x v="1"/>
    <x v="1"/>
    <n v="448"/>
  </r>
  <r>
    <d v="2025-08-22T00:00:00"/>
    <s v="SHELL OIL 57445192701"/>
    <x v="5"/>
    <s v="Sale"/>
    <n v="20"/>
    <x v="75"/>
    <n v="20"/>
    <n v="2025"/>
    <n v="8"/>
    <s v="2025-08"/>
    <d v="2025-08-22T00:00:00"/>
    <s v="Friday   "/>
    <x v="1"/>
    <x v="1"/>
    <n v="449"/>
  </r>
  <r>
    <d v="2025-08-18T00:00:00"/>
    <s v="ASSOCIATES IN PSYCHIATRY"/>
    <x v="4"/>
    <s v="Sale"/>
    <n v="20"/>
    <x v="17"/>
    <n v="20"/>
    <n v="2025"/>
    <n v="8"/>
    <s v="2025-08"/>
    <d v="2025-08-18T00:00:00"/>
    <s v="Monday   "/>
    <x v="1"/>
    <x v="1"/>
    <n v="462"/>
  </r>
  <r>
    <d v="2026-03-27T00:00:00"/>
    <s v="DIRECTPAY FULL BALANCE_x000a_SEE DETAILS OF YOUR NEXT DIRECTPAY BELOW"/>
    <x v="12"/>
    <s v="Payment"/>
    <n v="-107.54"/>
    <x v="92"/>
    <n v="107.54"/>
    <n v="2026"/>
    <n v="3"/>
    <s v="2026-03"/>
    <d v="2026-03-27T00:00:00"/>
    <s v="Friday   "/>
    <x v="0"/>
    <x v="1"/>
    <n v="508"/>
  </r>
  <r>
    <d v="2026-01-15T00:00:00"/>
    <s v="The Law Office of Deni"/>
    <x v="11"/>
    <s v="Sale"/>
    <n v="2120"/>
    <x v="86"/>
    <n v="2120"/>
    <n v="2026"/>
    <n v="1"/>
    <s v="2026-01"/>
    <d v="2026-01-15T00:00:00"/>
    <s v="Thursday "/>
    <x v="1"/>
    <x v="1"/>
    <n v="472"/>
  </r>
  <r>
    <d v="2025-12-26T00:00:00"/>
    <s v="The Law Office of Deni"/>
    <x v="11"/>
    <s v="Sale"/>
    <n v="1529.25"/>
    <x v="86"/>
    <n v="1529.25"/>
    <n v="2025"/>
    <n v="12"/>
    <s v="2025-12"/>
    <d v="2025-12-26T00:00:00"/>
    <s v="Friday   "/>
    <x v="1"/>
    <x v="1"/>
    <n v="473"/>
  </r>
  <r>
    <d v="2025-12-17T00:00:00"/>
    <s v="WALGREENS #6746"/>
    <x v="4"/>
    <s v="Sale"/>
    <n v="9.2100000000000009"/>
    <x v="82"/>
    <n v="9.2100000000000009"/>
    <n v="2025"/>
    <n v="12"/>
    <s v="2025-12"/>
    <d v="2025-12-17T00:00:00"/>
    <s v="Wednesday"/>
    <x v="1"/>
    <x v="1"/>
    <n v="479"/>
  </r>
  <r>
    <d v="2025-12-15T00:00:00"/>
    <s v="SHELL OIL 57445192701"/>
    <x v="5"/>
    <s v="Sale"/>
    <n v="41.01"/>
    <x v="75"/>
    <n v="41.01"/>
    <n v="2025"/>
    <n v="12"/>
    <s v="2025-12"/>
    <d v="2025-12-15T00:00:00"/>
    <s v="Monday   "/>
    <x v="1"/>
    <x v="1"/>
    <n v="481"/>
  </r>
  <r>
    <d v="2025-12-30T00:00:00"/>
    <s v="KRV Legal LLP Ridings"/>
    <x v="11"/>
    <s v="Sale"/>
    <n v="750"/>
    <x v="93"/>
    <n v="750"/>
    <n v="2025"/>
    <n v="12"/>
    <s v="2025-12"/>
    <d v="2025-12-30T00:00:00"/>
    <s v="Tuesday  "/>
    <x v="1"/>
    <x v="1"/>
    <n v="483"/>
  </r>
  <r>
    <d v="2026-02-21T00:00:00"/>
    <s v="MENARDS WOODSTOCK IL"/>
    <x v="0"/>
    <s v="Return"/>
    <n v="-32.46"/>
    <x v="66"/>
    <n v="32.46"/>
    <n v="2026"/>
    <n v="2"/>
    <s v="2026-02"/>
    <d v="2026-02-21T00:00:00"/>
    <s v="Saturday "/>
    <x v="0"/>
    <x v="0"/>
    <n v="1076"/>
  </r>
  <r>
    <d v="2025-12-10T00:00:00"/>
    <s v="BESTBUYCOM807121003077"/>
    <x v="0"/>
    <s v="Sale"/>
    <n v="363.78"/>
    <x v="94"/>
    <n v="363.78"/>
    <n v="2025"/>
    <n v="12"/>
    <s v="2025-12"/>
    <d v="2025-12-10T00:00:00"/>
    <s v="Wednesday"/>
    <x v="1"/>
    <x v="0"/>
    <n v="1079"/>
  </r>
  <r>
    <d v="2025-12-06T00:00:00"/>
    <s v="SAVERS - 1176"/>
    <x v="0"/>
    <s v="Sale"/>
    <n v="45.96"/>
    <x v="95"/>
    <n v="45.96"/>
    <n v="2025"/>
    <n v="12"/>
    <s v="2025-12"/>
    <d v="2025-12-06T00:00:00"/>
    <s v="Saturday "/>
    <x v="1"/>
    <x v="0"/>
    <n v="1081"/>
  </r>
  <r>
    <d v="2025-12-13T00:00:00"/>
    <s v="DOLLARTREE"/>
    <x v="0"/>
    <s v="Sale"/>
    <n v="32.200000000000003"/>
    <x v="2"/>
    <n v="32.200000000000003"/>
    <n v="2025"/>
    <n v="12"/>
    <s v="2025-12"/>
    <d v="2025-12-13T00:00:00"/>
    <s v="Saturday "/>
    <x v="1"/>
    <x v="0"/>
    <n v="1082"/>
  </r>
  <r>
    <d v="2025-12-02T00:00:00"/>
    <s v="HABITAT FOR HUMANITY WS"/>
    <x v="0"/>
    <s v="Sale"/>
    <n v="9.74"/>
    <x v="96"/>
    <n v="9.74"/>
    <n v="2025"/>
    <n v="12"/>
    <s v="2025-12"/>
    <d v="2025-12-02T00:00:00"/>
    <s v="Tuesday  "/>
    <x v="1"/>
    <x v="0"/>
    <n v="1083"/>
  </r>
  <r>
    <d v="2025-11-26T00:00:00"/>
    <s v="OLDNAVY.COM"/>
    <x v="0"/>
    <s v="Return"/>
    <n v="-47.74"/>
    <x v="51"/>
    <n v="47.74"/>
    <n v="2025"/>
    <n v="11"/>
    <s v="2025-11"/>
    <d v="2025-11-26T00:00:00"/>
    <s v="Wednesday"/>
    <x v="0"/>
    <x v="0"/>
    <n v="1084"/>
  </r>
  <r>
    <d v="2025-11-25T00:00:00"/>
    <s v="OLDNAVY.COM"/>
    <x v="0"/>
    <s v="Sale"/>
    <n v="62.06"/>
    <x v="51"/>
    <n v="62.06"/>
    <n v="2025"/>
    <n v="11"/>
    <s v="2025-11"/>
    <d v="2025-11-25T00:00:00"/>
    <s v="Tuesday  "/>
    <x v="1"/>
    <x v="0"/>
    <n v="1085"/>
  </r>
  <r>
    <d v="2025-08-01T00:00:00"/>
    <s v="REBECCA LEIFELD MA  LCPC"/>
    <x v="4"/>
    <s v="Sale"/>
    <n v="20"/>
    <x v="62"/>
    <n v="20"/>
    <n v="2025"/>
    <n v="8"/>
    <s v="2025-08"/>
    <d v="2025-08-01T00:00:00"/>
    <s v="Friday   "/>
    <x v="1"/>
    <x v="1"/>
    <n v="491"/>
  </r>
  <r>
    <d v="2025-07-29T00:00:00"/>
    <s v="BP#6255236ARROWHEAD BP"/>
    <x v="5"/>
    <s v="Sale"/>
    <n v="45.56"/>
    <x v="97"/>
    <n v="45.56"/>
    <n v="2025"/>
    <n v="7"/>
    <s v="2025-07"/>
    <d v="2025-07-29T00:00:00"/>
    <s v="Tuesday  "/>
    <x v="1"/>
    <x v="1"/>
    <n v="492"/>
  </r>
  <r>
    <d v="2025-07-16T00:00:00"/>
    <s v="MURPHY7579ATWALMART"/>
    <x v="5"/>
    <s v="Sale"/>
    <n v="53.09"/>
    <x v="87"/>
    <n v="53.09"/>
    <n v="2025"/>
    <n v="7"/>
    <s v="2025-07"/>
    <d v="2025-07-16T00:00:00"/>
    <s v="Wednesday"/>
    <x v="1"/>
    <x v="1"/>
    <n v="497"/>
  </r>
  <r>
    <d v="2025-07-18T00:00:00"/>
    <s v="TARGET        00011668"/>
    <x v="4"/>
    <s v="Sale"/>
    <n v="15"/>
    <x v="90"/>
    <n v="15"/>
    <n v="2025"/>
    <n v="7"/>
    <s v="2025-07"/>
    <d v="2025-07-18T00:00:00"/>
    <s v="Friday   "/>
    <x v="1"/>
    <x v="1"/>
    <n v="498"/>
  </r>
  <r>
    <d v="2025-06-18T00:00:00"/>
    <s v="ROAD RANGER #242"/>
    <x v="5"/>
    <s v="Sale"/>
    <n v="22.17"/>
    <x v="98"/>
    <n v="22.17"/>
    <n v="2025"/>
    <n v="6"/>
    <s v="2025-06"/>
    <d v="2025-06-18T00:00:00"/>
    <s v="Wednesday"/>
    <x v="1"/>
    <x v="1"/>
    <n v="500"/>
  </r>
  <r>
    <d v="2025-10-25T00:00:00"/>
    <s v="DOLLAR TREE"/>
    <x v="0"/>
    <s v="Sale"/>
    <n v="28.12"/>
    <x v="26"/>
    <n v="28.12"/>
    <n v="2025"/>
    <n v="10"/>
    <s v="2025-10"/>
    <d v="2025-10-25T00:00:00"/>
    <s v="Saturday "/>
    <x v="1"/>
    <x v="0"/>
    <n v="1090"/>
  </r>
  <r>
    <d v="2025-06-18T00:00:00"/>
    <s v="CIRCLE K 00129"/>
    <x v="5"/>
    <s v="Sale"/>
    <n v="22.94"/>
    <x v="99"/>
    <n v="22.94"/>
    <n v="2025"/>
    <n v="6"/>
    <s v="2025-06"/>
    <d v="2025-06-18T00:00:00"/>
    <s v="Wednesday"/>
    <x v="1"/>
    <x v="1"/>
    <n v="501"/>
  </r>
  <r>
    <d v="2025-06-17T00:00:00"/>
    <s v="REBECCA LEIFELD MA  LCPC"/>
    <x v="4"/>
    <s v="Sale"/>
    <n v="20"/>
    <x v="62"/>
    <n v="20"/>
    <n v="2025"/>
    <n v="6"/>
    <s v="2025-06"/>
    <d v="2025-06-17T00:00:00"/>
    <s v="Tuesday  "/>
    <x v="1"/>
    <x v="1"/>
    <n v="502"/>
  </r>
  <r>
    <d v="2025-06-17T00:00:00"/>
    <s v="DR MATTS OFFICE"/>
    <x v="4"/>
    <s v="Sale"/>
    <n v="40"/>
    <x v="15"/>
    <n v="40"/>
    <n v="2025"/>
    <n v="6"/>
    <s v="2025-06"/>
    <d v="2025-06-17T00:00:00"/>
    <s v="Tuesday  "/>
    <x v="1"/>
    <x v="1"/>
    <n v="503"/>
  </r>
  <r>
    <d v="2025-06-04T00:00:00"/>
    <s v="REBECCA LEIFELD MA  LCPC"/>
    <x v="4"/>
    <s v="Sale"/>
    <n v="20"/>
    <x v="62"/>
    <n v="20"/>
    <n v="2025"/>
    <n v="6"/>
    <s v="2025-06"/>
    <d v="2025-06-04T00:00:00"/>
    <s v="Wednesday"/>
    <x v="1"/>
    <x v="1"/>
    <n v="507"/>
  </r>
  <r>
    <d v="2025-11-19T00:00:00"/>
    <s v="FARM &amp;amp; FLT OF WOODSTOCK"/>
    <x v="0"/>
    <s v="Return"/>
    <n v="-45.56"/>
    <x v="50"/>
    <n v="45.56"/>
    <n v="2025"/>
    <n v="11"/>
    <s v="2025-11"/>
    <d v="2025-11-19T00:00:00"/>
    <s v="Wednesday"/>
    <x v="0"/>
    <x v="0"/>
    <n v="1092"/>
  </r>
  <r>
    <d v="2025-07-11T00:00:00"/>
    <s v="KRV Legal LLP Ridings"/>
    <x v="11"/>
    <s v="Sale"/>
    <n v="2500"/>
    <x v="93"/>
    <n v="2500"/>
    <n v="2025"/>
    <n v="7"/>
    <s v="2025-07"/>
    <d v="2025-07-11T00:00:00"/>
    <s v="Friday   "/>
    <x v="1"/>
    <x v="1"/>
    <n v="509"/>
  </r>
  <r>
    <d v="2025-06-12T00:00:00"/>
    <s v="CRYSTAL LAKE IMM CARE PHY"/>
    <x v="4"/>
    <s v="Sale"/>
    <n v="20"/>
    <x v="100"/>
    <n v="20"/>
    <n v="2025"/>
    <n v="6"/>
    <s v="2025-06"/>
    <d v="2025-06-12T00:00:00"/>
    <s v="Thursday "/>
    <x v="1"/>
    <x v="1"/>
    <n v="505"/>
  </r>
  <r>
    <d v="2025-12-23T00:00:00"/>
    <s v="MSC CRUISES USA"/>
    <x v="1"/>
    <s v="Sale"/>
    <n v="70"/>
    <x v="101"/>
    <n v="70"/>
    <n v="2025"/>
    <n v="12"/>
    <s v="2025-12"/>
    <d v="2025-12-23T00:00:00"/>
    <s v="Tuesday  "/>
    <x v="1"/>
    <x v="0"/>
    <n v="606"/>
  </r>
  <r>
    <d v="2026-02-07T00:00:00"/>
    <s v="MSC Cruises"/>
    <x v="1"/>
    <s v="Sale"/>
    <n v="140.88"/>
    <x v="101"/>
    <n v="140.88"/>
    <n v="2026"/>
    <n v="2"/>
    <s v="2026-02"/>
    <d v="2026-02-07T00:00:00"/>
    <s v="Saturday "/>
    <x v="1"/>
    <x v="0"/>
    <n v="602"/>
  </r>
  <r>
    <d v="2026-02-06T00:00:00"/>
    <s v="MSC Cruises"/>
    <x v="1"/>
    <s v="Sale"/>
    <n v="96"/>
    <x v="101"/>
    <n v="96"/>
    <n v="2026"/>
    <n v="2"/>
    <s v="2026-02"/>
    <d v="2026-02-06T00:00:00"/>
    <s v="Friday   "/>
    <x v="1"/>
    <x v="0"/>
    <n v="603"/>
  </r>
  <r>
    <d v="2026-01-17T00:00:00"/>
    <s v="MSC Cruises USA"/>
    <x v="1"/>
    <s v="Sale"/>
    <n v="334.34"/>
    <x v="101"/>
    <n v="334.34"/>
    <n v="2026"/>
    <n v="1"/>
    <s v="2026-01"/>
    <d v="2026-01-17T00:00:00"/>
    <s v="Saturday "/>
    <x v="1"/>
    <x v="0"/>
    <n v="604"/>
  </r>
  <r>
    <d v="2025-10-03T00:00:00"/>
    <s v="BLAIN'S FARM &amp;amp; FLEET"/>
    <x v="0"/>
    <s v="Sale"/>
    <n v="61.77"/>
    <x v="74"/>
    <n v="61.77"/>
    <n v="2025"/>
    <n v="10"/>
    <s v="2025-10"/>
    <d v="2025-10-03T00:00:00"/>
    <s v="Friday   "/>
    <x v="1"/>
    <x v="0"/>
    <n v="1154"/>
  </r>
  <r>
    <d v="2025-07-09T00:00:00"/>
    <s v="TARGET        00011668"/>
    <x v="4"/>
    <s v="Sale"/>
    <n v="37.5"/>
    <x v="90"/>
    <n v="37.5"/>
    <n v="2025"/>
    <n v="7"/>
    <s v="2025-07"/>
    <d v="2025-07-09T00:00:00"/>
    <s v="Wednesday"/>
    <x v="1"/>
    <x v="1"/>
    <n v="515"/>
  </r>
  <r>
    <d v="2025-06-27T00:00:00"/>
    <s v="TARGET        00011668"/>
    <x v="4"/>
    <s v="Sale"/>
    <n v="39.49"/>
    <x v="90"/>
    <n v="39.49"/>
    <n v="2025"/>
    <n v="6"/>
    <s v="2025-06"/>
    <d v="2025-06-27T00:00:00"/>
    <s v="Friday   "/>
    <x v="1"/>
    <x v="1"/>
    <n v="516"/>
  </r>
  <r>
    <d v="2026-01-13T00:00:00"/>
    <s v="MSC Cruises USA"/>
    <x v="1"/>
    <s v="Sale"/>
    <n v="130.16"/>
    <x v="101"/>
    <n v="130.16"/>
    <n v="2026"/>
    <n v="1"/>
    <s v="2026-01"/>
    <d v="2026-01-13T00:00:00"/>
    <s v="Tuesday  "/>
    <x v="1"/>
    <x v="0"/>
    <n v="605"/>
  </r>
  <r>
    <d v="2025-05-06T00:00:00"/>
    <s v="REBECCA LEIFELD MA  LCPC"/>
    <x v="4"/>
    <s v="Sale"/>
    <n v="20"/>
    <x v="62"/>
    <n v="20"/>
    <n v="2025"/>
    <n v="5"/>
    <s v="2025-05"/>
    <d v="2025-05-06T00:00:00"/>
    <s v="Tuesday  "/>
    <x v="1"/>
    <x v="1"/>
    <n v="517"/>
  </r>
  <r>
    <d v="2025-06-28T00:00:00"/>
    <s v="ASSOCIATES IN PSYCHIATRY"/>
    <x v="4"/>
    <s v="Sale"/>
    <n v="20"/>
    <x v="17"/>
    <n v="20"/>
    <n v="2025"/>
    <n v="6"/>
    <s v="2025-06"/>
    <d v="2025-06-28T00:00:00"/>
    <s v="Saturday "/>
    <x v="1"/>
    <x v="1"/>
    <n v="518"/>
  </r>
  <r>
    <d v="2026-01-20T00:00:00"/>
    <s v="TARGET        00011668"/>
    <x v="4"/>
    <s v="Sale"/>
    <n v="45"/>
    <x v="90"/>
    <n v="45"/>
    <n v="2026"/>
    <n v="1"/>
    <s v="2026-01"/>
    <d v="2026-01-20T00:00:00"/>
    <s v="Tuesday  "/>
    <x v="1"/>
    <x v="1"/>
    <n v="549"/>
  </r>
  <r>
    <d v="2025-12-18T00:00:00"/>
    <s v="TARGET        00011668"/>
    <x v="4"/>
    <s v="Sale"/>
    <n v="32.880000000000003"/>
    <x v="90"/>
    <n v="32.880000000000003"/>
    <n v="2025"/>
    <n v="12"/>
    <s v="2025-12"/>
    <d v="2025-12-18T00:00:00"/>
    <s v="Thursday "/>
    <x v="1"/>
    <x v="1"/>
    <n v="550"/>
  </r>
  <r>
    <d v="2025-12-17T00:00:00"/>
    <s v="TARGET        00011668"/>
    <x v="4"/>
    <s v="Sale"/>
    <n v="65.17"/>
    <x v="90"/>
    <n v="65.17"/>
    <n v="2025"/>
    <n v="12"/>
    <s v="2025-12"/>
    <d v="2025-12-17T00:00:00"/>
    <s v="Wednesday"/>
    <x v="1"/>
    <x v="1"/>
    <n v="551"/>
  </r>
  <r>
    <d v="2025-05-04T00:00:00"/>
    <s v="EXXON 7-ELEVEN 41290"/>
    <x v="5"/>
    <s v="Sale"/>
    <n v="53.82"/>
    <x v="102"/>
    <n v="53.82"/>
    <n v="2025"/>
    <n v="5"/>
    <s v="2025-05"/>
    <d v="2025-05-04T00:00:00"/>
    <s v="Sunday   "/>
    <x v="1"/>
    <x v="1"/>
    <n v="552"/>
  </r>
  <r>
    <d v="2025-05-19T00:00:00"/>
    <s v="U-HAUL MOVING &amp;amp; STORAGE O"/>
    <x v="6"/>
    <s v="Sale"/>
    <n v="213.96"/>
    <x v="103"/>
    <n v="213.96"/>
    <n v="2025"/>
    <n v="5"/>
    <s v="2025-05"/>
    <d v="2025-05-19T00:00:00"/>
    <s v="Monday   "/>
    <x v="1"/>
    <x v="1"/>
    <n v="556"/>
  </r>
  <r>
    <d v="2025-10-01T00:00:00"/>
    <s v="AIRBNB * HMYWF9HWJZ"/>
    <x v="1"/>
    <s v="Return"/>
    <n v="-180.52"/>
    <x v="104"/>
    <n v="180.52"/>
    <n v="2025"/>
    <n v="10"/>
    <s v="2025-10"/>
    <d v="2025-10-01T00:00:00"/>
    <s v="Wednesday"/>
    <x v="0"/>
    <x v="0"/>
    <n v="1156"/>
  </r>
  <r>
    <d v="2026-02-27T00:00:00"/>
    <s v="DIRECTPAY FULL BALANCE_x000a_2URP3XEL2LO"/>
    <x v="12"/>
    <s v="Payment"/>
    <n v="-1271.49"/>
    <x v="92"/>
    <n v="1271.49"/>
    <n v="2026"/>
    <n v="2"/>
    <s v="2026-02"/>
    <d v="2026-02-27T00:00:00"/>
    <s v="Friday   "/>
    <x v="0"/>
    <x v="1"/>
    <n v="539"/>
  </r>
  <r>
    <d v="2025-05-25T00:00:00"/>
    <s v="TARGET        00011668"/>
    <x v="4"/>
    <s v="Sale"/>
    <n v="42.36"/>
    <x v="90"/>
    <n v="42.36"/>
    <n v="2025"/>
    <n v="5"/>
    <s v="2025-05"/>
    <d v="2025-05-25T00:00:00"/>
    <s v="Sunday   "/>
    <x v="1"/>
    <x v="1"/>
    <n v="561"/>
  </r>
  <r>
    <d v="2025-09-30T00:00:00"/>
    <s v="AIRBNB * HMYWF9HWJZ"/>
    <x v="1"/>
    <s v="Sale"/>
    <n v="180.52"/>
    <x v="104"/>
    <n v="180.52"/>
    <n v="2025"/>
    <n v="9"/>
    <s v="2025-09"/>
    <d v="2025-09-30T00:00:00"/>
    <s v="Tuesday  "/>
    <x v="1"/>
    <x v="0"/>
    <n v="1158"/>
  </r>
  <r>
    <d v="2025-09-29T00:00:00"/>
    <s v="AIRBNB * HMNNHCP4KT"/>
    <x v="1"/>
    <s v="Sale"/>
    <n v="192.55"/>
    <x v="104"/>
    <n v="192.55"/>
    <n v="2025"/>
    <n v="9"/>
    <s v="2025-09"/>
    <d v="2025-09-29T00:00:00"/>
    <s v="Monday   "/>
    <x v="1"/>
    <x v="0"/>
    <n v="1160"/>
  </r>
  <r>
    <d v="2025-10-06T00:00:00"/>
    <s v="DUNKIN #355515"/>
    <x v="3"/>
    <s v="Sale"/>
    <n v="8.4600000000000009"/>
    <x v="4"/>
    <n v="8.4600000000000009"/>
    <n v="2025"/>
    <n v="10"/>
    <s v="2025-10"/>
    <d v="2025-10-06T00:00:00"/>
    <s v="Monday   "/>
    <x v="1"/>
    <x v="0"/>
    <n v="1155"/>
  </r>
  <r>
    <d v="2025-09-29T00:00:00"/>
    <s v="DUNKIN #355515"/>
    <x v="3"/>
    <s v="Sale"/>
    <n v="9.06"/>
    <x v="4"/>
    <n v="9.06"/>
    <n v="2025"/>
    <n v="9"/>
    <s v="2025-09"/>
    <d v="2025-09-29T00:00:00"/>
    <s v="Monday   "/>
    <x v="1"/>
    <x v="0"/>
    <n v="1162"/>
  </r>
  <r>
    <d v="2025-09-15T00:00:00"/>
    <s v="DOLLAR TREE"/>
    <x v="0"/>
    <s v="Sale"/>
    <n v="16.190000000000001"/>
    <x v="26"/>
    <n v="16.190000000000001"/>
    <n v="2025"/>
    <n v="9"/>
    <s v="2025-09"/>
    <d v="2025-09-15T00:00:00"/>
    <s v="Monday   "/>
    <x v="1"/>
    <x v="0"/>
    <n v="1164"/>
  </r>
  <r>
    <d v="2025-09-03T00:00:00"/>
    <s v="DOLLARTREE"/>
    <x v="0"/>
    <s v="Sale"/>
    <n v="46.28"/>
    <x v="2"/>
    <n v="46.28"/>
    <n v="2025"/>
    <n v="9"/>
    <s v="2025-09"/>
    <d v="2025-09-03T00:00:00"/>
    <s v="Wednesday"/>
    <x v="1"/>
    <x v="0"/>
    <n v="1168"/>
  </r>
  <r>
    <d v="2025-12-06T00:00:00"/>
    <s v="RAPID RINSE CAR WASH CRYSTAL LAKE IL"/>
    <x v="10"/>
    <s v="Sale"/>
    <n v="15"/>
    <x v="69"/>
    <n v="15"/>
    <n v="2025"/>
    <n v="12"/>
    <s v="2025-12"/>
    <d v="2025-12-06T00:00:00"/>
    <s v="Saturday "/>
    <x v="1"/>
    <x v="1"/>
    <n v="580"/>
  </r>
  <r>
    <d v="2025-09-07T00:00:00"/>
    <s v="IL TOLLWAY-WEB-UNPD TOLL"/>
    <x v="1"/>
    <s v="Sale"/>
    <n v="5.3"/>
    <x v="105"/>
    <n v="5.3"/>
    <n v="2025"/>
    <n v="9"/>
    <s v="2025-09"/>
    <d v="2025-09-07T00:00:00"/>
    <s v="Sunday   "/>
    <x v="1"/>
    <x v="0"/>
    <n v="1199"/>
  </r>
  <r>
    <d v="2025-09-19T00:00:00"/>
    <s v="FIVE BELOW 703"/>
    <x v="0"/>
    <s v="Sale"/>
    <n v="30.38"/>
    <x v="58"/>
    <n v="30.38"/>
    <n v="2025"/>
    <n v="9"/>
    <s v="2025-09"/>
    <d v="2025-09-19T00:00:00"/>
    <s v="Friday   "/>
    <x v="1"/>
    <x v="0"/>
    <n v="1169"/>
  </r>
  <r>
    <d v="2025-08-01T00:00:00"/>
    <s v="MARIANO'S FUEL 9544 CRYSTAL LAKE IL"/>
    <x v="5"/>
    <s v="Sale"/>
    <n v="55.7"/>
    <x v="106"/>
    <n v="55.7"/>
    <n v="2025"/>
    <n v="8"/>
    <s v="2025-08"/>
    <d v="2025-08-01T00:00:00"/>
    <s v="Friday   "/>
    <x v="1"/>
    <x v="1"/>
    <n v="608"/>
  </r>
  <r>
    <d v="2025-07-22T00:00:00"/>
    <s v="BP#9151747BULL VALLEY BP MCHENRY IL"/>
    <x v="5"/>
    <s v="Sale"/>
    <n v="55.44"/>
    <x v="107"/>
    <n v="55.44"/>
    <n v="2025"/>
    <n v="7"/>
    <s v="2025-07"/>
    <d v="2025-07-22T00:00:00"/>
    <s v="Tuesday  "/>
    <x v="1"/>
    <x v="1"/>
    <n v="609"/>
  </r>
  <r>
    <d v="2025-10-21T00:00:00"/>
    <s v="ADVOCATE PATIENT PAYMENT DOWNERS GROVEIL"/>
    <x v="4"/>
    <s v="Sale"/>
    <n v="20"/>
    <x v="85"/>
    <n v="20"/>
    <n v="2025"/>
    <n v="10"/>
    <s v="2025-10"/>
    <d v="2025-10-21T00:00:00"/>
    <s v="Tuesday  "/>
    <x v="1"/>
    <x v="1"/>
    <n v="610"/>
  </r>
  <r>
    <d v="2025-06-03T00:00:00"/>
    <s v="BOOST MOBILE 833-502-6678 CO"/>
    <x v="13"/>
    <s v="Sale"/>
    <n v="25.18"/>
    <x v="108"/>
    <n v="25.18"/>
    <n v="2025"/>
    <n v="6"/>
    <s v="2025-06"/>
    <d v="2025-06-03T00:00:00"/>
    <s v="Tuesday  "/>
    <x v="1"/>
    <x v="1"/>
    <n v="612"/>
  </r>
  <r>
    <d v="2025-06-20T00:00:00"/>
    <s v="ALL SAFE SELF STORAGE LI 815-6904768 IL_x000a_50484695"/>
    <x v="6"/>
    <s v="Sale"/>
    <n v="138.6"/>
    <x v="19"/>
    <n v="138.6"/>
    <n v="2025"/>
    <n v="6"/>
    <s v="2025-06"/>
    <d v="2025-06-20T00:00:00"/>
    <s v="Friday   "/>
    <x v="1"/>
    <x v="1"/>
    <n v="613"/>
  </r>
  <r>
    <d v="2025-05-20T00:00:00"/>
    <s v="ALL SAFE SELF STORAGE LI 815-6904768 IL"/>
    <x v="6"/>
    <s v="Sale"/>
    <n v="138.6"/>
    <x v="19"/>
    <n v="138.6"/>
    <n v="2025"/>
    <n v="5"/>
    <s v="2025-05"/>
    <d v="2025-05-20T00:00:00"/>
    <s v="Tuesday  "/>
    <x v="1"/>
    <x v="1"/>
    <n v="614"/>
  </r>
  <r>
    <d v="2025-09-05T00:00:00"/>
    <s v="KOHL'S #1467"/>
    <x v="0"/>
    <s v="Sale"/>
    <n v="14.47"/>
    <x v="34"/>
    <n v="14.47"/>
    <n v="2025"/>
    <n v="9"/>
    <s v="2025-09"/>
    <d v="2025-09-05T00:00:00"/>
    <s v="Friday   "/>
    <x v="1"/>
    <x v="0"/>
    <n v="1175"/>
  </r>
  <r>
    <d v="2025-06-11T00:00:00"/>
    <s v="AAA ACG NE0069 EFT RCC 800-222-1134 MI_x000a_EFUKWG51PBU3QTVCHAK5O"/>
    <x v="10"/>
    <s v="Sale"/>
    <n v="110"/>
    <x v="109"/>
    <n v="110"/>
    <n v="2025"/>
    <n v="6"/>
    <s v="2025-06"/>
    <d v="2025-06-11T00:00:00"/>
    <s v="Wednesday"/>
    <x v="1"/>
    <x v="1"/>
    <n v="616"/>
  </r>
  <r>
    <d v="2025-05-13T00:00:00"/>
    <s v="ADVOCATE PATIENT PAYMENT DOWNERS GROVEIL"/>
    <x v="4"/>
    <s v="Sale"/>
    <n v="20"/>
    <x v="85"/>
    <n v="20"/>
    <n v="2025"/>
    <n v="5"/>
    <s v="2025-05"/>
    <d v="2025-05-13T00:00:00"/>
    <s v="Tuesday  "/>
    <x v="1"/>
    <x v="1"/>
    <n v="619"/>
  </r>
  <r>
    <d v="2025-08-30T00:00:00"/>
    <s v="PLAYITAGAINSP #11008"/>
    <x v="0"/>
    <s v="Sale"/>
    <n v="49.63"/>
    <x v="47"/>
    <n v="49.63"/>
    <n v="2025"/>
    <n v="8"/>
    <s v="2025-08"/>
    <d v="2025-08-30T00:00:00"/>
    <s v="Saturday "/>
    <x v="1"/>
    <x v="0"/>
    <n v="1177"/>
  </r>
  <r>
    <d v="2025-08-30T00:00:00"/>
    <s v="BATH &amp;amp; BODY WORKS 4303"/>
    <x v="0"/>
    <s v="Sale"/>
    <n v="23.65"/>
    <x v="110"/>
    <n v="23.65"/>
    <n v="2025"/>
    <n v="8"/>
    <s v="2025-08"/>
    <d v="2025-08-30T00:00:00"/>
    <s v="Saturday "/>
    <x v="1"/>
    <x v="0"/>
    <n v="1178"/>
  </r>
  <r>
    <d v="2025-09-17T00:00:00"/>
    <s v="GOODWILL CRYSTAL LAKE"/>
    <x v="0"/>
    <s v="Sale"/>
    <n v="35.49"/>
    <x v="111"/>
    <n v="35.49"/>
    <n v="2025"/>
    <n v="9"/>
    <s v="2025-09"/>
    <d v="2025-09-17T00:00:00"/>
    <s v="Wednesday"/>
    <x v="1"/>
    <x v="0"/>
    <n v="1181"/>
  </r>
  <r>
    <d v="2025-11-28T00:00:00"/>
    <s v="MENARDS CRYSTAL LAKE IL"/>
    <x v="0"/>
    <s v="Sale"/>
    <n v="85.35"/>
    <x v="66"/>
    <n v="85.35"/>
    <n v="2025"/>
    <n v="11"/>
    <s v="2025-11"/>
    <d v="2025-11-28T00:00:00"/>
    <s v="Friday   "/>
    <x v="1"/>
    <x v="0"/>
    <n v="1186"/>
  </r>
  <r>
    <d v="2025-11-19T00:00:00"/>
    <s v="MENARDS WOODSTOCK IL"/>
    <x v="0"/>
    <s v="Return"/>
    <n v="-8.52"/>
    <x v="66"/>
    <n v="8.52"/>
    <n v="2025"/>
    <n v="11"/>
    <s v="2025-11"/>
    <d v="2025-11-19T00:00:00"/>
    <s v="Wednesday"/>
    <x v="0"/>
    <x v="0"/>
    <n v="1187"/>
  </r>
  <r>
    <d v="2025-11-19T00:00:00"/>
    <s v="MENARDS WOODSTOCK IL"/>
    <x v="0"/>
    <s v="Sale"/>
    <n v="59.44"/>
    <x v="66"/>
    <n v="59.44"/>
    <n v="2025"/>
    <n v="11"/>
    <s v="2025-11"/>
    <d v="2025-11-19T00:00:00"/>
    <s v="Wednesday"/>
    <x v="1"/>
    <x v="0"/>
    <n v="1192"/>
  </r>
  <r>
    <d v="2025-10-25T00:00:00"/>
    <s v="MENARDS CRYSTAL LAKE IL"/>
    <x v="0"/>
    <s v="Sale"/>
    <n v="19.46"/>
    <x v="66"/>
    <n v="19.46"/>
    <n v="2025"/>
    <n v="10"/>
    <s v="2025-10"/>
    <d v="2025-10-25T00:00:00"/>
    <s v="Saturday "/>
    <x v="1"/>
    <x v="0"/>
    <n v="1193"/>
  </r>
  <r>
    <d v="2025-07-27T00:00:00"/>
    <s v="DOLLARTREE"/>
    <x v="0"/>
    <s v="Sale"/>
    <n v="24.05"/>
    <x v="2"/>
    <n v="24.05"/>
    <n v="2025"/>
    <n v="7"/>
    <s v="2025-07"/>
    <d v="2025-07-27T00:00:00"/>
    <s v="Sunday   "/>
    <x v="1"/>
    <x v="0"/>
    <n v="1203"/>
  </r>
  <r>
    <d v="2025-07-18T00:00:00"/>
    <s v="DOLLAR TREE"/>
    <x v="0"/>
    <s v="Sale"/>
    <n v="26.31"/>
    <x v="26"/>
    <n v="26.31"/>
    <n v="2025"/>
    <n v="7"/>
    <s v="2025-07"/>
    <d v="2025-07-18T00:00:00"/>
    <s v="Friday   "/>
    <x v="1"/>
    <x v="0"/>
    <n v="1205"/>
  </r>
  <r>
    <d v="2025-08-14T00:00:00"/>
    <s v="SAVERS - 1176"/>
    <x v="0"/>
    <s v="Sale"/>
    <n v="35.729999999999997"/>
    <x v="95"/>
    <n v="35.729999999999997"/>
    <n v="2025"/>
    <n v="8"/>
    <s v="2025-08"/>
    <d v="2025-08-14T00:00:00"/>
    <s v="Thursday "/>
    <x v="1"/>
    <x v="0"/>
    <n v="1206"/>
  </r>
  <r>
    <d v="2025-08-12T00:00:00"/>
    <s v="FLAGSHIP ICON 404"/>
    <x v="0"/>
    <s v="Sale"/>
    <n v="50"/>
    <x v="112"/>
    <n v="50"/>
    <n v="2025"/>
    <n v="8"/>
    <s v="2025-08"/>
    <d v="2025-08-12T00:00:00"/>
    <s v="Tuesday  "/>
    <x v="1"/>
    <x v="0"/>
    <n v="1208"/>
  </r>
  <r>
    <d v="2025-07-03T00:00:00"/>
    <s v="SAMSCLUB 6339 GAS"/>
    <x v="5"/>
    <s v="Sale"/>
    <n v="44.54"/>
    <x v="61"/>
    <n v="44.54"/>
    <n v="2025"/>
    <n v="7"/>
    <s v="2025-07"/>
    <d v="2025-07-03T00:00:00"/>
    <s v="Thursday "/>
    <x v="1"/>
    <x v="1"/>
    <n v="1293"/>
  </r>
  <r>
    <d v="2025-08-11T00:00:00"/>
    <s v="FLAGSHIP ICON 404"/>
    <x v="0"/>
    <s v="Sale"/>
    <n v="50"/>
    <x v="112"/>
    <n v="50"/>
    <n v="2025"/>
    <n v="8"/>
    <s v="2025-08"/>
    <d v="2025-08-11T00:00:00"/>
    <s v="Monday   "/>
    <x v="1"/>
    <x v="0"/>
    <n v="1210"/>
  </r>
  <r>
    <d v="2025-08-13T00:00:00"/>
    <s v="GAQGIFT* GEORGIA AQUAR"/>
    <x v="0"/>
    <s v="Sale"/>
    <n v="44.59"/>
    <x v="113"/>
    <n v="44.59"/>
    <n v="2025"/>
    <n v="8"/>
    <s v="2025-08"/>
    <d v="2025-08-13T00:00:00"/>
    <s v="Wednesday"/>
    <x v="1"/>
    <x v="0"/>
    <n v="1211"/>
  </r>
  <r>
    <d v="2025-08-11T00:00:00"/>
    <s v="GAQGIFT* GEORGIA AQUAR"/>
    <x v="0"/>
    <s v="Sale"/>
    <n v="20.58"/>
    <x v="113"/>
    <n v="20.58"/>
    <n v="2025"/>
    <n v="8"/>
    <s v="2025-08"/>
    <d v="2025-08-11T00:00:00"/>
    <s v="Monday   "/>
    <x v="1"/>
    <x v="0"/>
    <n v="1212"/>
  </r>
  <r>
    <d v="2025-08-10T00:00:00"/>
    <s v="GEORGIA AQUARIUM"/>
    <x v="0"/>
    <s v="Sale"/>
    <n v="20"/>
    <x v="114"/>
    <n v="20"/>
    <n v="2025"/>
    <n v="8"/>
    <s v="2025-08"/>
    <d v="2025-08-10T00:00:00"/>
    <s v="Sunday   "/>
    <x v="1"/>
    <x v="0"/>
    <n v="1213"/>
  </r>
  <r>
    <d v="2025-08-11T00:00:00"/>
    <s v="GAQGIFT* GEORGIA AQUAR"/>
    <x v="0"/>
    <s v="Sale"/>
    <n v="32.83"/>
    <x v="113"/>
    <n v="32.83"/>
    <n v="2025"/>
    <n v="8"/>
    <s v="2025-08"/>
    <d v="2025-08-11T00:00:00"/>
    <s v="Monday   "/>
    <x v="1"/>
    <x v="0"/>
    <n v="1214"/>
  </r>
  <r>
    <d v="2025-08-11T00:00:00"/>
    <s v="GAQGIFT* GEORGIA AQUAR"/>
    <x v="0"/>
    <s v="Sale"/>
    <n v="21.78"/>
    <x v="113"/>
    <n v="21.78"/>
    <n v="2025"/>
    <n v="8"/>
    <s v="2025-08"/>
    <d v="2025-08-11T00:00:00"/>
    <s v="Monday   "/>
    <x v="1"/>
    <x v="0"/>
    <n v="1216"/>
  </r>
  <r>
    <d v="2025-08-07T00:00:00"/>
    <s v="SAMSCLUB #6339"/>
    <x v="5"/>
    <s v="Sale"/>
    <n v="25"/>
    <x v="61"/>
    <n v="25"/>
    <n v="2025"/>
    <n v="8"/>
    <s v="2025-08"/>
    <d v="2025-08-07T00:00:00"/>
    <s v="Thursday "/>
    <x v="1"/>
    <x v="1"/>
    <n v="1260"/>
  </r>
  <r>
    <d v="2025-10-01T00:00:00"/>
    <s v="MURPHY7579ATWALMART"/>
    <x v="5"/>
    <s v="Sale"/>
    <n v="46.34"/>
    <x v="87"/>
    <n v="46.34"/>
    <n v="2025"/>
    <n v="10"/>
    <s v="2025-10"/>
    <d v="2025-10-01T00:00:00"/>
    <s v="Wednesday"/>
    <x v="1"/>
    <x v="1"/>
    <n v="1245"/>
  </r>
  <r>
    <d v="2025-09-23T00:00:00"/>
    <s v="TARGET        00011668"/>
    <x v="4"/>
    <s v="Sale"/>
    <n v="54.64"/>
    <x v="90"/>
    <n v="54.64"/>
    <n v="2025"/>
    <n v="9"/>
    <s v="2025-09"/>
    <d v="2025-09-23T00:00:00"/>
    <s v="Tuesday  "/>
    <x v="1"/>
    <x v="1"/>
    <n v="1246"/>
  </r>
  <r>
    <d v="2025-09-19T00:00:00"/>
    <s v="TARGET        00011668"/>
    <x v="4"/>
    <s v="Sale"/>
    <n v="63.77"/>
    <x v="90"/>
    <n v="63.77"/>
    <n v="2025"/>
    <n v="9"/>
    <s v="2025-09"/>
    <d v="2025-09-19T00:00:00"/>
    <s v="Friday   "/>
    <x v="1"/>
    <x v="1"/>
    <n v="1247"/>
  </r>
  <r>
    <d v="2025-09-19T00:00:00"/>
    <s v="TARGET        00011668"/>
    <x v="4"/>
    <s v="Sale"/>
    <n v="8.9499999999999993"/>
    <x v="90"/>
    <n v="8.9499999999999993"/>
    <n v="2025"/>
    <n v="9"/>
    <s v="2025-09"/>
    <d v="2025-09-19T00:00:00"/>
    <s v="Friday   "/>
    <x v="1"/>
    <x v="1"/>
    <n v="1248"/>
  </r>
  <r>
    <d v="2025-06-28T00:00:00"/>
    <s v="SAMSCLUB #6339"/>
    <x v="5"/>
    <s v="Sale"/>
    <n v="78.39"/>
    <x v="61"/>
    <n v="78.39"/>
    <n v="2025"/>
    <n v="6"/>
    <s v="2025-06"/>
    <d v="2025-06-28T00:00:00"/>
    <s v="Saturday "/>
    <x v="1"/>
    <x v="1"/>
    <n v="1294"/>
  </r>
  <r>
    <d v="2025-06-28T00:00:00"/>
    <s v="SAMSCLUB #6339"/>
    <x v="5"/>
    <s v="Sale"/>
    <n v="4.3"/>
    <x v="61"/>
    <n v="4.3"/>
    <n v="2025"/>
    <n v="6"/>
    <s v="2025-06"/>
    <d v="2025-06-28T00:00:00"/>
    <s v="Saturday "/>
    <x v="1"/>
    <x v="1"/>
    <n v="1295"/>
  </r>
  <r>
    <d v="2025-08-10T00:00:00"/>
    <s v="COCA COLA ATLANTA"/>
    <x v="0"/>
    <s v="Sale"/>
    <n v="35.83"/>
    <x v="115"/>
    <n v="35.83"/>
    <n v="2025"/>
    <n v="8"/>
    <s v="2025-08"/>
    <d v="2025-08-10T00:00:00"/>
    <s v="Sunday   "/>
    <x v="1"/>
    <x v="0"/>
    <n v="1220"/>
  </r>
  <r>
    <d v="2026-02-12T00:00:00"/>
    <s v="IL TOLLWAY-AUTOREPLENISH 800-824-7277 IL"/>
    <x v="1"/>
    <s v="Sale"/>
    <n v="20"/>
    <x v="105"/>
    <n v="20"/>
    <n v="2026"/>
    <n v="2"/>
    <s v="2026-02"/>
    <d v="2026-02-12T00:00:00"/>
    <s v="Thursday "/>
    <x v="1"/>
    <x v="0"/>
    <n v="1383"/>
  </r>
  <r>
    <d v="2025-09-15T00:00:00"/>
    <s v="PAYPAL *BASIC FUN"/>
    <x v="0"/>
    <s v="Sale"/>
    <n v="6"/>
    <x v="78"/>
    <n v="6"/>
    <n v="2025"/>
    <n v="9"/>
    <s v="2025-09"/>
    <d v="2025-09-15T00:00:00"/>
    <s v="Monday   "/>
    <x v="1"/>
    <x v="0"/>
    <n v="1170"/>
  </r>
  <r>
    <d v="2025-05-13T00:00:00"/>
    <s v="SAMSCLUB #6339"/>
    <x v="5"/>
    <s v="Sale"/>
    <n v="53.69"/>
    <x v="61"/>
    <n v="53.69"/>
    <n v="2025"/>
    <n v="5"/>
    <s v="2025-05"/>
    <d v="2025-05-13T00:00:00"/>
    <s v="Tuesday  "/>
    <x v="1"/>
    <x v="1"/>
    <n v="1337"/>
  </r>
  <r>
    <d v="2025-10-05T00:00:00"/>
    <s v="TACO BELL #30401"/>
    <x v="3"/>
    <s v="Sale"/>
    <n v="9.74"/>
    <x v="116"/>
    <n v="9.74"/>
    <n v="2025"/>
    <n v="10"/>
    <s v="2025-10"/>
    <d v="2025-10-05T00:00:00"/>
    <s v="Sunday   "/>
    <x v="1"/>
    <x v="0"/>
    <n v="1157"/>
  </r>
  <r>
    <d v="2025-10-04T00:00:00"/>
    <s v="VILLAGE VINTNER WINERY"/>
    <x v="3"/>
    <s v="Sale"/>
    <n v="28.85"/>
    <x v="117"/>
    <n v="28.85"/>
    <n v="2025"/>
    <n v="10"/>
    <s v="2025-10"/>
    <d v="2025-10-04T00:00:00"/>
    <s v="Saturday "/>
    <x v="1"/>
    <x v="0"/>
    <n v="1159"/>
  </r>
  <r>
    <d v="2025-07-19T00:00:00"/>
    <s v="FIV*DOUBLE TAKE"/>
    <x v="0"/>
    <s v="Sale"/>
    <n v="4.2300000000000004"/>
    <x v="118"/>
    <n v="4.2300000000000004"/>
    <n v="2025"/>
    <n v="7"/>
    <s v="2025-07"/>
    <d v="2025-07-19T00:00:00"/>
    <s v="Saturday "/>
    <x v="1"/>
    <x v="0"/>
    <n v="1253"/>
  </r>
  <r>
    <d v="2025-10-07T00:00:00"/>
    <s v="MENARDS CRYSTAL LAKE IL"/>
    <x v="0"/>
    <s v="Sale"/>
    <n v="38.93"/>
    <x v="66"/>
    <n v="38.93"/>
    <n v="2025"/>
    <n v="10"/>
    <s v="2025-10"/>
    <d v="2025-10-07T00:00:00"/>
    <s v="Tuesday  "/>
    <x v="1"/>
    <x v="0"/>
    <n v="1254"/>
  </r>
  <r>
    <d v="2025-07-27T00:00:00"/>
    <s v="GOODWILL RETAIL #087"/>
    <x v="0"/>
    <s v="Sale"/>
    <n v="14.58"/>
    <x v="119"/>
    <n v="14.58"/>
    <n v="2025"/>
    <n v="7"/>
    <s v="2025-07"/>
    <d v="2025-07-27T00:00:00"/>
    <s v="Sunday   "/>
    <x v="1"/>
    <x v="0"/>
    <n v="1259"/>
  </r>
  <r>
    <d v="2025-07-01T00:00:00"/>
    <s v="OLLIES BARGAIN OUTLET 494"/>
    <x v="0"/>
    <s v="Sale"/>
    <n v="4.33"/>
    <x v="120"/>
    <n v="4.33"/>
    <n v="2025"/>
    <n v="7"/>
    <s v="2025-07"/>
    <d v="2025-07-01T00:00:00"/>
    <s v="Tuesday  "/>
    <x v="1"/>
    <x v="0"/>
    <n v="1264"/>
  </r>
  <r>
    <d v="2026-01-27T00:00:00"/>
    <s v="DIRECTPAY FULL BALANCE_x000a_AB2ATVIYELLDRWP0X8QEO"/>
    <x v="12"/>
    <s v="Payment"/>
    <n v="-597.66999999999996"/>
    <x v="92"/>
    <n v="597.66999999999996"/>
    <n v="2026"/>
    <n v="1"/>
    <s v="2026-01"/>
    <d v="2026-01-27T00:00:00"/>
    <s v="Tuesday  "/>
    <x v="0"/>
    <x v="1"/>
    <n v="1378"/>
  </r>
  <r>
    <d v="2025-07-08T00:00:00"/>
    <s v="MURPHY7579ATWALMART"/>
    <x v="5"/>
    <s v="Sale"/>
    <n v="54.07"/>
    <x v="87"/>
    <n v="54.07"/>
    <n v="2025"/>
    <n v="7"/>
    <s v="2025-07"/>
    <d v="2025-07-08T00:00:00"/>
    <s v="Tuesday  "/>
    <x v="1"/>
    <x v="1"/>
    <n v="1345"/>
  </r>
  <r>
    <d v="2025-05-27T00:00:00"/>
    <s v="MURPHY7579ATWALMART"/>
    <x v="5"/>
    <s v="Sale"/>
    <n v="49.16"/>
    <x v="87"/>
    <n v="49.16"/>
    <n v="2025"/>
    <n v="5"/>
    <s v="2025-05"/>
    <d v="2025-05-27T00:00:00"/>
    <s v="Tuesday  "/>
    <x v="1"/>
    <x v="1"/>
    <n v="1346"/>
  </r>
  <r>
    <d v="2025-06-23T00:00:00"/>
    <s v="OLLIES BARGAIN OUTLET 494"/>
    <x v="0"/>
    <s v="Return"/>
    <n v="-10.82"/>
    <x v="120"/>
    <n v="10.82"/>
    <n v="2025"/>
    <n v="6"/>
    <s v="2025-06"/>
    <d v="2025-06-23T00:00:00"/>
    <s v="Monday   "/>
    <x v="0"/>
    <x v="0"/>
    <n v="1267"/>
  </r>
  <r>
    <d v="2025-06-11T00:00:00"/>
    <s v="TARGET        00011668"/>
    <x v="4"/>
    <s v="Sale"/>
    <n v="34.36"/>
    <x v="90"/>
    <n v="34.36"/>
    <n v="2025"/>
    <n v="6"/>
    <s v="2025-06"/>
    <d v="2025-06-11T00:00:00"/>
    <s v="Wednesday"/>
    <x v="1"/>
    <x v="1"/>
    <n v="1347"/>
  </r>
  <r>
    <d v="2025-06-02T00:00:00"/>
    <s v="DOLLAR TREE"/>
    <x v="0"/>
    <s v="Sale"/>
    <n v="9.49"/>
    <x v="26"/>
    <n v="9.49"/>
    <n v="2025"/>
    <n v="6"/>
    <s v="2025-06"/>
    <d v="2025-06-02T00:00:00"/>
    <s v="Monday   "/>
    <x v="1"/>
    <x v="0"/>
    <n v="1269"/>
  </r>
  <r>
    <d v="2025-06-01T00:00:00"/>
    <s v="OLLIES BARGAIN OUTLET 494"/>
    <x v="0"/>
    <s v="Sale"/>
    <n v="42.28"/>
    <x v="120"/>
    <n v="42.28"/>
    <n v="2025"/>
    <n v="6"/>
    <s v="2025-06"/>
    <d v="2025-06-01T00:00:00"/>
    <s v="Sunday   "/>
    <x v="1"/>
    <x v="0"/>
    <n v="1284"/>
  </r>
  <r>
    <d v="2025-05-30T00:00:00"/>
    <s v="DOLLARTREE"/>
    <x v="0"/>
    <s v="Sale"/>
    <n v="28.33"/>
    <x v="2"/>
    <n v="28.33"/>
    <n v="2025"/>
    <n v="5"/>
    <s v="2025-05"/>
    <d v="2025-05-30T00:00:00"/>
    <s v="Friday   "/>
    <x v="1"/>
    <x v="0"/>
    <n v="1287"/>
  </r>
  <r>
    <d v="2025-07-27T00:00:00"/>
    <s v="MENARDS MONTGOMERY IL"/>
    <x v="0"/>
    <s v="Return"/>
    <n v="-14.1"/>
    <x v="66"/>
    <n v="14.1"/>
    <n v="2025"/>
    <n v="7"/>
    <s v="2025-07"/>
    <d v="2025-07-27T00:00:00"/>
    <s v="Sunday   "/>
    <x v="0"/>
    <x v="0"/>
    <n v="1308"/>
  </r>
  <r>
    <d v="2025-07-27T00:00:00"/>
    <s v="MENARDS MONTGOMERY IL"/>
    <x v="0"/>
    <s v="Return"/>
    <n v="-18.27"/>
    <x v="66"/>
    <n v="18.27"/>
    <n v="2025"/>
    <n v="7"/>
    <s v="2025-07"/>
    <d v="2025-07-27T00:00:00"/>
    <s v="Sunday   "/>
    <x v="0"/>
    <x v="0"/>
    <n v="1309"/>
  </r>
  <r>
    <d v="2025-09-07T00:00:00"/>
    <s v="IL TOLLWAY-WEB 630-241-6800 IL"/>
    <x v="1"/>
    <s v="Sale"/>
    <n v="20"/>
    <x v="105"/>
    <n v="20"/>
    <n v="2025"/>
    <n v="9"/>
    <s v="2025-09"/>
    <d v="2025-09-07T00:00:00"/>
    <s v="Sunday   "/>
    <x v="1"/>
    <x v="0"/>
    <n v="1432"/>
  </r>
  <r>
    <d v="2025-07-18T00:00:00"/>
    <s v="MENARDS CRYSTAL LAKE IL"/>
    <x v="0"/>
    <s v="Sale"/>
    <n v="51.65"/>
    <x v="66"/>
    <n v="51.65"/>
    <n v="2025"/>
    <n v="7"/>
    <s v="2025-07"/>
    <d v="2025-07-18T00:00:00"/>
    <s v="Friday   "/>
    <x v="1"/>
    <x v="0"/>
    <n v="1310"/>
  </r>
  <r>
    <d v="2025-07-12T00:00:00"/>
    <s v="MENARDS WOODSTOCK IL"/>
    <x v="0"/>
    <s v="Sale"/>
    <n v="28.62"/>
    <x v="66"/>
    <n v="28.62"/>
    <n v="2025"/>
    <n v="7"/>
    <s v="2025-07"/>
    <d v="2025-07-12T00:00:00"/>
    <s v="Saturday "/>
    <x v="1"/>
    <x v="0"/>
    <n v="1311"/>
  </r>
  <r>
    <d v="2025-05-24T00:00:00"/>
    <s v="DOLLARTREE"/>
    <x v="0"/>
    <s v="Sale"/>
    <n v="2.71"/>
    <x v="2"/>
    <n v="2.71"/>
    <n v="2025"/>
    <n v="5"/>
    <s v="2025-05"/>
    <d v="2025-05-24T00:00:00"/>
    <s v="Saturday "/>
    <x v="1"/>
    <x v="0"/>
    <n v="1315"/>
  </r>
  <r>
    <d v="2025-08-13T00:00:00"/>
    <s v="ADVOCATE PATIENT PAYMENT DOWNERS GROVEIL"/>
    <x v="4"/>
    <s v="Payment"/>
    <n v="-20"/>
    <x v="85"/>
    <n v="20"/>
    <n v="2025"/>
    <n v="8"/>
    <s v="2025-08"/>
    <d v="2025-08-13T00:00:00"/>
    <s v="Wednesday"/>
    <x v="0"/>
    <x v="1"/>
    <n v="1426"/>
  </r>
  <r>
    <d v="2025-05-23T00:00:00"/>
    <s v="DERM SPECIALISTS IL WOODSTOCK IL"/>
    <x v="4"/>
    <s v="Payment"/>
    <n v="-40"/>
    <x v="21"/>
    <n v="40"/>
    <n v="2025"/>
    <n v="5"/>
    <s v="2025-05"/>
    <d v="2025-05-23T00:00:00"/>
    <s v="Friday   "/>
    <x v="0"/>
    <x v="1"/>
    <n v="1469"/>
  </r>
  <r>
    <d v="2025-05-23T00:00:00"/>
    <s v="DERMATOLOGY SPECIALIST DERMSPECIALISIL"/>
    <x v="4"/>
    <s v="Payment"/>
    <n v="-40"/>
    <x v="21"/>
    <n v="40"/>
    <n v="2025"/>
    <n v="5"/>
    <s v="2025-05"/>
    <d v="2025-05-23T00:00:00"/>
    <s v="Friday   "/>
    <x v="0"/>
    <x v="1"/>
    <n v="1470"/>
  </r>
  <r>
    <d v="2025-11-14T00:00:00"/>
    <s v="DERMATOLOGY SPECIALIST DERMSPECIALISIL"/>
    <x v="4"/>
    <s v="Sale"/>
    <n v="40"/>
    <x v="21"/>
    <n v="40"/>
    <n v="2025"/>
    <n v="11"/>
    <s v="2025-11"/>
    <d v="2025-11-14T00:00:00"/>
    <s v="Friday   "/>
    <x v="1"/>
    <x v="1"/>
    <n v="1446"/>
  </r>
  <r>
    <d v="2025-10-11T00:00:00"/>
    <s v="SQ *KAREN CLARKSON"/>
    <x v="0"/>
    <s v="Sale"/>
    <n v="15"/>
    <x v="121"/>
    <n v="15"/>
    <n v="2025"/>
    <n v="10"/>
    <s v="2025-10"/>
    <d v="2025-10-11T00:00:00"/>
    <s v="Saturday "/>
    <x v="1"/>
    <x v="0"/>
    <n v="1243"/>
  </r>
  <r>
    <d v="2025-07-14T00:00:00"/>
    <s v="GEORGIAAQUARIUMECOM"/>
    <x v="8"/>
    <s v="Sale"/>
    <n v="462.8"/>
    <x v="122"/>
    <n v="462.8"/>
    <n v="2025"/>
    <n v="7"/>
    <s v="2025-07"/>
    <d v="2025-07-14T00:00:00"/>
    <s v="Monday   "/>
    <x v="1"/>
    <x v="0"/>
    <n v="1240"/>
  </r>
  <r>
    <d v="2025-05-03T00:00:00"/>
    <s v="BOOST MOBILE 833-502-6678 CO"/>
    <x v="13"/>
    <s v="Sale"/>
    <n v="25.18"/>
    <x v="108"/>
    <n v="25.18"/>
    <n v="2025"/>
    <n v="5"/>
    <s v="2025-05"/>
    <d v="2025-05-03T00:00:00"/>
    <s v="Saturday "/>
    <x v="1"/>
    <x v="1"/>
    <n v="733"/>
  </r>
  <r>
    <d v="2026-02-17T00:00:00"/>
    <s v="CRYSTAL LAKE PARK DISTRI"/>
    <x v="2"/>
    <s v="Sale"/>
    <n v="362"/>
    <x v="3"/>
    <n v="362"/>
    <n v="2026"/>
    <n v="2"/>
    <s v="2026-02"/>
    <d v="2026-02-17T00:00:00"/>
    <s v="Tuesday  "/>
    <x v="1"/>
    <x v="1"/>
    <n v="747"/>
  </r>
  <r>
    <d v="2026-02-17T00:00:00"/>
    <s v="CRYSTAL LAKE PARK DISTRI"/>
    <x v="2"/>
    <s v="Sale"/>
    <n v="289.60000000000002"/>
    <x v="3"/>
    <n v="289.60000000000002"/>
    <n v="2026"/>
    <n v="2"/>
    <s v="2026-02"/>
    <d v="2026-02-17T00:00:00"/>
    <s v="Tuesday  "/>
    <x v="1"/>
    <x v="1"/>
    <n v="748"/>
  </r>
  <r>
    <d v="2025-07-20T00:00:00"/>
    <s v="ALL SAFE SELF STORAGE LI 815-6904768 IL"/>
    <x v="6"/>
    <s v="Sale"/>
    <n v="138.6"/>
    <x v="19"/>
    <n v="138.6"/>
    <n v="2025"/>
    <n v="7"/>
    <s v="2025-07"/>
    <d v="2025-07-20T00:00:00"/>
    <s v="Sunday   "/>
    <x v="1"/>
    <x v="1"/>
    <n v="745"/>
  </r>
  <r>
    <d v="2025-11-18T00:00:00"/>
    <s v="FLT#FO2531884 #2422208"/>
    <x v="12"/>
    <s v="Payment"/>
    <n v="-299.76"/>
    <x v="123"/>
    <n v="299.76"/>
    <n v="2025"/>
    <n v="11"/>
    <s v="2025-11"/>
    <d v="2025-11-18T00:00:00"/>
    <s v="Tuesday  "/>
    <x v="0"/>
    <x v="1"/>
    <n v="1412"/>
  </r>
  <r>
    <d v="2025-11-27T00:00:00"/>
    <s v="DIRECTPAY FULL BALANCE_x000a_SEE DETAILS OF YOUR NEXT DIRECTPAY BELOW"/>
    <x v="12"/>
    <s v="Payment"/>
    <n v="-624.37"/>
    <x v="92"/>
    <n v="624.37"/>
    <n v="2025"/>
    <n v="11"/>
    <s v="2025-11"/>
    <d v="2025-11-27T00:00:00"/>
    <s v="Thursday "/>
    <x v="0"/>
    <x v="1"/>
    <n v="1408"/>
  </r>
  <r>
    <d v="2025-10-27T00:00:00"/>
    <s v="DIRECTPAY FULL BALANCE_x000a_SEE DETAILS OF YOUR NEXT DIRECTPAY BELOW"/>
    <x v="12"/>
    <s v="Payment"/>
    <n v="-522.99"/>
    <x v="92"/>
    <n v="522.99"/>
    <n v="2025"/>
    <n v="10"/>
    <s v="2025-10"/>
    <d v="2025-10-27T00:00:00"/>
    <s v="Monday   "/>
    <x v="0"/>
    <x v="1"/>
    <n v="1416"/>
  </r>
  <r>
    <d v="2026-01-25T00:00:00"/>
    <s v="TRICOCI - CRYSTAL LAKE TRICOCI.COM IL"/>
    <x v="4"/>
    <s v="Sale"/>
    <n v="72"/>
    <x v="124"/>
    <n v="72"/>
    <n v="2026"/>
    <n v="1"/>
    <s v="2026-01"/>
    <d v="2026-01-25T00:00:00"/>
    <s v="Sunday   "/>
    <x v="1"/>
    <x v="1"/>
    <n v="1445"/>
  </r>
  <r>
    <d v="2025-11-14T00:00:00"/>
    <s v="MURPHY7579ATWALMART WOODSTOCK IL"/>
    <x v="5"/>
    <s v="Sale"/>
    <n v="49.1"/>
    <x v="125"/>
    <n v="49.1"/>
    <n v="2025"/>
    <n v="11"/>
    <s v="2025-11"/>
    <d v="2025-11-14T00:00:00"/>
    <s v="Friday   "/>
    <x v="1"/>
    <x v="1"/>
    <n v="1447"/>
  </r>
  <r>
    <d v="2025-10-20T00:00:00"/>
    <s v="ALL SAFE SELF STORAGE LI 815-6904768 IL"/>
    <x v="6"/>
    <s v="Sale"/>
    <n v="138.6"/>
    <x v="19"/>
    <n v="138.6"/>
    <n v="2025"/>
    <n v="10"/>
    <s v="2025-10"/>
    <d v="2025-10-20T00:00:00"/>
    <s v="Monday   "/>
    <x v="1"/>
    <x v="1"/>
    <n v="1453"/>
  </r>
  <r>
    <d v="2025-09-20T00:00:00"/>
    <s v="ALL SAFE SELF STORAGE LI 815-6904768 IL"/>
    <x v="6"/>
    <s v="Sale"/>
    <n v="138.6"/>
    <x v="19"/>
    <n v="138.6"/>
    <n v="2025"/>
    <n v="9"/>
    <s v="2025-09"/>
    <d v="2025-09-20T00:00:00"/>
    <s v="Saturday "/>
    <x v="1"/>
    <x v="1"/>
    <n v="1454"/>
  </r>
  <r>
    <d v="2025-07-15T00:00:00"/>
    <s v="WENDY'S #0507"/>
    <x v="3"/>
    <s v="Sale"/>
    <n v="8.32"/>
    <x v="30"/>
    <n v="8.32"/>
    <n v="2025"/>
    <n v="7"/>
    <s v="2025-07"/>
    <d v="2025-07-15T00:00:00"/>
    <s v="Tuesday  "/>
    <x v="1"/>
    <x v="0"/>
    <n v="1241"/>
  </r>
  <r>
    <d v="2025-07-13T00:00:00"/>
    <s v="STARBUCKS STORE 02426"/>
    <x v="3"/>
    <s v="Sale"/>
    <n v="6.12"/>
    <x v="126"/>
    <n v="6.12"/>
    <n v="2025"/>
    <n v="7"/>
    <s v="2025-07"/>
    <d v="2025-07-13T00:00:00"/>
    <s v="Sunday   "/>
    <x v="1"/>
    <x v="0"/>
    <n v="1249"/>
  </r>
  <r>
    <d v="2025-08-17T00:00:00"/>
    <s v="MCDONALD'S F34643"/>
    <x v="3"/>
    <s v="Sale"/>
    <n v="9.7200000000000006"/>
    <x v="23"/>
    <n v="9.7200000000000006"/>
    <n v="2025"/>
    <n v="8"/>
    <s v="2025-08"/>
    <d v="2025-08-17T00:00:00"/>
    <s v="Sunday   "/>
    <x v="1"/>
    <x v="0"/>
    <n v="1250"/>
  </r>
  <r>
    <d v="2025-08-13T00:00:00"/>
    <s v="MCDONALD'S F12878"/>
    <x v="3"/>
    <s v="Sale"/>
    <n v="20.51"/>
    <x v="23"/>
    <n v="20.51"/>
    <n v="2025"/>
    <n v="8"/>
    <s v="2025-08"/>
    <d v="2025-08-13T00:00:00"/>
    <s v="Wednesday"/>
    <x v="1"/>
    <x v="0"/>
    <n v="1251"/>
  </r>
  <r>
    <d v="2025-08-24T00:00:00"/>
    <s v="DOMINO'S 2946"/>
    <x v="3"/>
    <s v="Sale"/>
    <n v="38.409999999999997"/>
    <x v="35"/>
    <n v="38.409999999999997"/>
    <n v="2025"/>
    <n v="8"/>
    <s v="2025-08"/>
    <d v="2025-08-24T00:00:00"/>
    <s v="Sunday   "/>
    <x v="1"/>
    <x v="0"/>
    <n v="1256"/>
  </r>
  <r>
    <d v="2025-05-24T00:00:00"/>
    <s v="DOLLARTREE"/>
    <x v="0"/>
    <s v="Sale"/>
    <n v="14.92"/>
    <x v="2"/>
    <n v="14.92"/>
    <n v="2025"/>
    <n v="5"/>
    <s v="2025-05"/>
    <d v="2025-05-24T00:00:00"/>
    <s v="Saturday "/>
    <x v="1"/>
    <x v="0"/>
    <n v="1329"/>
  </r>
  <r>
    <d v="2025-07-11T00:00:00"/>
    <s v="MENARDS CRYSTAL LAKE IL"/>
    <x v="0"/>
    <s v="Sale"/>
    <n v="36.54"/>
    <x v="66"/>
    <n v="36.54"/>
    <n v="2025"/>
    <n v="7"/>
    <s v="2025-07"/>
    <d v="2025-07-11T00:00:00"/>
    <s v="Friday   "/>
    <x v="1"/>
    <x v="0"/>
    <n v="1355"/>
  </r>
  <r>
    <d v="2025-07-03T00:00:00"/>
    <s v="MENARDS CRYSTAL LAKE IL"/>
    <x v="0"/>
    <s v="Sale"/>
    <n v="11.91"/>
    <x v="66"/>
    <n v="11.91"/>
    <n v="2025"/>
    <n v="7"/>
    <s v="2025-07"/>
    <d v="2025-07-03T00:00:00"/>
    <s v="Thursday "/>
    <x v="1"/>
    <x v="0"/>
    <n v="1356"/>
  </r>
  <r>
    <d v="2025-06-23T00:00:00"/>
    <s v="MENARDS CRYSTAL LAKE IL"/>
    <x v="0"/>
    <s v="Return"/>
    <n v="-15.78"/>
    <x v="66"/>
    <n v="15.78"/>
    <n v="2025"/>
    <n v="6"/>
    <s v="2025-06"/>
    <d v="2025-06-23T00:00:00"/>
    <s v="Monday   "/>
    <x v="0"/>
    <x v="0"/>
    <n v="1357"/>
  </r>
  <r>
    <d v="2025-06-11T00:00:00"/>
    <s v="MSC CRUISES INTERNET GENEVE CHE"/>
    <x v="1"/>
    <s v="Payment"/>
    <n v="-120"/>
    <x v="101"/>
    <n v="120"/>
    <n v="2025"/>
    <n v="6"/>
    <s v="2025-06"/>
    <d v="2025-06-11T00:00:00"/>
    <s v="Wednesday"/>
    <x v="0"/>
    <x v="0"/>
    <n v="1480"/>
  </r>
  <r>
    <d v="2025-06-23T00:00:00"/>
    <s v="MENARDS CRYSTAL LAKE IL"/>
    <x v="0"/>
    <s v="Return"/>
    <n v="-10.81"/>
    <x v="66"/>
    <n v="10.81"/>
    <n v="2025"/>
    <n v="6"/>
    <s v="2025-06"/>
    <d v="2025-06-23T00:00:00"/>
    <s v="Monday   "/>
    <x v="0"/>
    <x v="0"/>
    <n v="1358"/>
  </r>
  <r>
    <d v="2025-06-05T00:00:00"/>
    <s v="MENARDS WOODSTOCK IL"/>
    <x v="0"/>
    <s v="Sale"/>
    <n v="12.33"/>
    <x v="66"/>
    <n v="12.33"/>
    <n v="2025"/>
    <n v="6"/>
    <s v="2025-06"/>
    <d v="2025-06-05T00:00:00"/>
    <s v="Thursday "/>
    <x v="1"/>
    <x v="0"/>
    <n v="1359"/>
  </r>
  <r>
    <d v="2026-01-17T00:00:00"/>
    <s v="FH* SALTY SIREN TOURS"/>
    <x v="1"/>
    <s v="Sale"/>
    <n v="176.96"/>
    <x v="127"/>
    <n v="176.96"/>
    <n v="2026"/>
    <n v="1"/>
    <s v="2026-01"/>
    <d v="2026-01-17T00:00:00"/>
    <s v="Saturday "/>
    <x v="1"/>
    <x v="0"/>
    <n v="1042"/>
  </r>
  <r>
    <d v="2026-01-29T00:00:00"/>
    <s v="TRADEWIND COVE BIRKENSTO CRYSTAL LAKE IL_x000a_6592PI7VCDX"/>
    <x v="0"/>
    <s v="Sale"/>
    <n v="206.04"/>
    <x v="128"/>
    <n v="206.04"/>
    <n v="2026"/>
    <n v="1"/>
    <s v="2026-01"/>
    <d v="2026-01-29T00:00:00"/>
    <s v="Thursday "/>
    <x v="1"/>
    <x v="0"/>
    <n v="1387"/>
  </r>
  <r>
    <d v="2025-06-11T00:00:00"/>
    <s v="MSC CRUISES INTERNET GENEVE CHE"/>
    <x v="1"/>
    <s v="Payment"/>
    <n v="-120"/>
    <x v="101"/>
    <n v="120"/>
    <n v="2025"/>
    <n v="6"/>
    <s v="2025-06"/>
    <d v="2025-06-11T00:00:00"/>
    <s v="Wednesday"/>
    <x v="0"/>
    <x v="0"/>
    <n v="1481"/>
  </r>
  <r>
    <d v="2026-01-17T00:00:00"/>
    <s v="OLDNAVY.COM 800-427-7895 CA_x000a_2JQHSKHCOHY"/>
    <x v="0"/>
    <s v="Return"/>
    <n v="-36.35"/>
    <x v="51"/>
    <n v="36.35"/>
    <n v="2026"/>
    <n v="1"/>
    <s v="2026-01"/>
    <d v="2026-01-17T00:00:00"/>
    <s v="Saturday "/>
    <x v="0"/>
    <x v="0"/>
    <n v="1389"/>
  </r>
  <r>
    <d v="2026-02-12T00:00:00"/>
    <s v="MENARDS WOODSTOCK IL"/>
    <x v="0"/>
    <s v="Sale"/>
    <n v="10.84"/>
    <x v="66"/>
    <n v="10.84"/>
    <n v="2026"/>
    <n v="2"/>
    <s v="2026-02"/>
    <d v="2026-02-12T00:00:00"/>
    <s v="Thursday "/>
    <x v="1"/>
    <x v="0"/>
    <n v="1392"/>
  </r>
  <r>
    <d v="2025-06-02T00:00:00"/>
    <s v="MENARDS WOODSTOCK IL"/>
    <x v="0"/>
    <s v="Sale"/>
    <n v="23.06"/>
    <x v="66"/>
    <n v="23.06"/>
    <n v="2025"/>
    <n v="6"/>
    <s v="2025-06"/>
    <d v="2025-06-02T00:00:00"/>
    <s v="Monday   "/>
    <x v="1"/>
    <x v="0"/>
    <n v="1393"/>
  </r>
  <r>
    <d v="2026-03-24T00:00:00"/>
    <s v="MENARDS WOODSTOCK IL WOODSTOCK IL"/>
    <x v="0"/>
    <s v="Sale"/>
    <n v="31.36"/>
    <x v="66"/>
    <n v="31.36"/>
    <n v="2026"/>
    <n v="3"/>
    <s v="2026-03"/>
    <d v="2026-03-24T00:00:00"/>
    <s v="Tuesday  "/>
    <x v="1"/>
    <x v="0"/>
    <n v="1394"/>
  </r>
  <r>
    <d v="2025-12-07T00:00:00"/>
    <s v="TEMU.COM 888-221-1161 MA"/>
    <x v="0"/>
    <s v="Return"/>
    <n v="-16.45"/>
    <x v="129"/>
    <n v="16.45"/>
    <n v="2025"/>
    <n v="12"/>
    <s v="2025-12"/>
    <d v="2025-12-07T00:00:00"/>
    <s v="Sunday   "/>
    <x v="0"/>
    <x v="0"/>
    <n v="1398"/>
  </r>
  <r>
    <d v="2026-03-23T00:00:00"/>
    <s v="MENARDS WOODSTOCK IL WOODSTOCK IL"/>
    <x v="0"/>
    <s v="Sale"/>
    <n v="12.17"/>
    <x v="66"/>
    <n v="12.17"/>
    <n v="2026"/>
    <n v="3"/>
    <s v="2026-03"/>
    <d v="2026-03-23T00:00:00"/>
    <s v="Monday   "/>
    <x v="1"/>
    <x v="0"/>
    <n v="1396"/>
  </r>
  <r>
    <d v="2025-12-06T00:00:00"/>
    <s v="TEMU.COM 888-221-1161 MA"/>
    <x v="0"/>
    <s v="Return"/>
    <n v="-9.6199999999999992"/>
    <x v="129"/>
    <n v="9.6199999999999992"/>
    <n v="2025"/>
    <n v="12"/>
    <s v="2025-12"/>
    <d v="2025-12-06T00:00:00"/>
    <s v="Saturday "/>
    <x v="0"/>
    <x v="0"/>
    <n v="1399"/>
  </r>
  <r>
    <d v="2025-12-08T00:00:00"/>
    <s v="PAYPAL *LITTLEWAYLE"/>
    <x v="2"/>
    <s v="Sale"/>
    <n v="140"/>
    <x v="13"/>
    <n v="140"/>
    <n v="2025"/>
    <n v="12"/>
    <s v="2025-12"/>
    <d v="2025-12-08T00:00:00"/>
    <s v="Monday   "/>
    <x v="1"/>
    <x v="1"/>
    <n v="412"/>
  </r>
  <r>
    <d v="2025-12-06T00:00:00"/>
    <s v="TEMU.COM 888-221-1161 MA"/>
    <x v="0"/>
    <s v="Return"/>
    <n v="-13.68"/>
    <x v="129"/>
    <n v="13.68"/>
    <n v="2025"/>
    <n v="12"/>
    <s v="2025-12"/>
    <d v="2025-12-06T00:00:00"/>
    <s v="Saturday "/>
    <x v="0"/>
    <x v="0"/>
    <n v="1400"/>
  </r>
  <r>
    <d v="2026-03-20T00:00:00"/>
    <s v="MENARDS WOODSTOCK IL WOODSTOCK IL"/>
    <x v="0"/>
    <s v="Sale"/>
    <n v="69.52"/>
    <x v="66"/>
    <n v="69.52"/>
    <n v="2026"/>
    <n v="3"/>
    <s v="2026-03"/>
    <d v="2026-03-20T00:00:00"/>
    <s v="Friday   "/>
    <x v="1"/>
    <x v="0"/>
    <n v="1397"/>
  </r>
  <r>
    <d v="2025-05-12T00:00:00"/>
    <s v="PANERA BREAD #204024 P"/>
    <x v="3"/>
    <s v="Sale"/>
    <n v="19.23"/>
    <x v="64"/>
    <n v="19.23"/>
    <n v="2025"/>
    <n v="5"/>
    <s v="2025-05"/>
    <d v="2025-05-12T00:00:00"/>
    <s v="Monday   "/>
    <x v="1"/>
    <x v="0"/>
    <n v="1326"/>
  </r>
  <r>
    <d v="2025-05-10T00:00:00"/>
    <s v="TACO BELL #4752"/>
    <x v="3"/>
    <s v="Sale"/>
    <n v="8"/>
    <x v="116"/>
    <n v="8"/>
    <n v="2025"/>
    <n v="5"/>
    <s v="2025-05"/>
    <d v="2025-05-10T00:00:00"/>
    <s v="Saturday "/>
    <x v="1"/>
    <x v="0"/>
    <n v="1332"/>
  </r>
  <r>
    <d v="2026-03-06T00:00:00"/>
    <s v="CL *Chase Travel"/>
    <x v="1"/>
    <s v="Sale"/>
    <n v="261.60000000000002"/>
    <x v="130"/>
    <n v="261.60000000000002"/>
    <n v="2026"/>
    <n v="3"/>
    <s v="2026-03"/>
    <d v="2026-03-06T00:00:00"/>
    <s v="Friday   "/>
    <x v="1"/>
    <x v="0"/>
    <n v="1014"/>
  </r>
  <r>
    <d v="2025-05-03T00:00:00"/>
    <s v="DOMINO'S 2786"/>
    <x v="3"/>
    <s v="Sale"/>
    <n v="38.71"/>
    <x v="35"/>
    <n v="38.71"/>
    <n v="2025"/>
    <n v="5"/>
    <s v="2025-05"/>
    <d v="2025-05-03T00:00:00"/>
    <s v="Saturday "/>
    <x v="1"/>
    <x v="0"/>
    <n v="1360"/>
  </r>
  <r>
    <d v="2025-12-12T00:00:00"/>
    <s v="TEMU.COM 888-221-1161 MA"/>
    <x v="0"/>
    <s v="Sale"/>
    <n v="88.66"/>
    <x v="129"/>
    <n v="88.66"/>
    <n v="2025"/>
    <n v="12"/>
    <s v="2025-12"/>
    <d v="2025-12-12T00:00:00"/>
    <s v="Friday   "/>
    <x v="1"/>
    <x v="0"/>
    <n v="1409"/>
  </r>
  <r>
    <d v="2025-10-22T00:00:00"/>
    <s v="TEMU.COM 888-221-1161 MA"/>
    <x v="0"/>
    <s v="Sale"/>
    <n v="183.27"/>
    <x v="129"/>
    <n v="183.27"/>
    <n v="2025"/>
    <n v="10"/>
    <s v="2025-10"/>
    <d v="2025-10-22T00:00:00"/>
    <s v="Wednesday"/>
    <x v="1"/>
    <x v="0"/>
    <n v="1410"/>
  </r>
  <r>
    <d v="2025-10-22T00:00:00"/>
    <s v="TEMU.COM 888-221-1161 MA"/>
    <x v="0"/>
    <s v="Sale"/>
    <n v="15.33"/>
    <x v="129"/>
    <n v="15.33"/>
    <n v="2025"/>
    <n v="10"/>
    <s v="2025-10"/>
    <d v="2025-10-22T00:00:00"/>
    <s v="Wednesday"/>
    <x v="1"/>
    <x v="0"/>
    <n v="1411"/>
  </r>
  <r>
    <d v="2025-09-27T00:00:00"/>
    <s v="DIRECTPAY FULL BALANCE_x000a_V3TQGCS6YJN"/>
    <x v="12"/>
    <s v="Payment"/>
    <n v="-462.56"/>
    <x v="92"/>
    <n v="462.56"/>
    <n v="2025"/>
    <n v="9"/>
    <s v="2025-09"/>
    <d v="2025-09-27T00:00:00"/>
    <s v="Saturday "/>
    <x v="0"/>
    <x v="1"/>
    <n v="674"/>
  </r>
  <r>
    <d v="2025-08-27T00:00:00"/>
    <s v="DIRECTPAY FULL BALANCE"/>
    <x v="12"/>
    <s v="Payment"/>
    <n v="-948.97"/>
    <x v="92"/>
    <n v="948.97"/>
    <n v="2025"/>
    <n v="8"/>
    <s v="2025-08"/>
    <d v="2025-08-27T00:00:00"/>
    <s v="Wednesday"/>
    <x v="0"/>
    <x v="1"/>
    <n v="675"/>
  </r>
  <r>
    <d v="2025-05-27T00:00:00"/>
    <s v="DIRECTPAY FULL BALANCE_x000a_SEE DETAILS OF YOUR NEXT DIRECTPAY BELOW"/>
    <x v="12"/>
    <s v="Payment"/>
    <n v="-1465.1"/>
    <x v="92"/>
    <n v="1465.1"/>
    <n v="2025"/>
    <n v="5"/>
    <s v="2025-05"/>
    <d v="2025-05-27T00:00:00"/>
    <s v="Tuesday  "/>
    <x v="0"/>
    <x v="1"/>
    <n v="739"/>
  </r>
  <r>
    <d v="2026-01-17T00:00:00"/>
    <s v="CL *Chase Travel"/>
    <x v="1"/>
    <s v="Sale"/>
    <n v="133.5"/>
    <x v="130"/>
    <n v="133.5"/>
    <n v="2026"/>
    <n v="1"/>
    <s v="2026-01"/>
    <d v="2026-01-17T00:00:00"/>
    <s v="Saturday "/>
    <x v="1"/>
    <x v="0"/>
    <n v="1020"/>
  </r>
  <r>
    <d v="2026-01-17T00:00:00"/>
    <s v="CL *Chase Travel"/>
    <x v="1"/>
    <s v="Sale"/>
    <n v="195.84"/>
    <x v="130"/>
    <n v="195.84"/>
    <n v="2026"/>
    <n v="1"/>
    <s v="2026-01"/>
    <d v="2026-01-17T00:00:00"/>
    <s v="Saturday "/>
    <x v="1"/>
    <x v="0"/>
    <n v="1032"/>
  </r>
  <r>
    <d v="2025-12-21T00:00:00"/>
    <s v="OLDNAVY.COM 800-427-7895 CA_x000a_R7P3A18BBIUFWQGTMZDRX4"/>
    <x v="0"/>
    <s v="Sale"/>
    <n v="72.7"/>
    <x v="51"/>
    <n v="72.7"/>
    <n v="2025"/>
    <n v="12"/>
    <s v="2025-12"/>
    <d v="2025-12-21T00:00:00"/>
    <s v="Sunday   "/>
    <x v="1"/>
    <x v="0"/>
    <n v="1417"/>
  </r>
  <r>
    <d v="2026-03-05T00:00:00"/>
    <s v="Payment Thank You - Web"/>
    <x v="12"/>
    <s v="Payment"/>
    <n v="-2000"/>
    <x v="92"/>
    <n v="2000"/>
    <n v="2026"/>
    <n v="3"/>
    <s v="2026-03"/>
    <d v="2026-03-05T00:00:00"/>
    <s v="Thursday "/>
    <x v="0"/>
    <x v="1"/>
    <n v="950"/>
  </r>
  <r>
    <d v="2025-06-24T00:00:00"/>
    <s v="LAW OFFICE OF ROBERT FET"/>
    <x v="11"/>
    <s v="Sale"/>
    <n v="570.62"/>
    <x v="131"/>
    <n v="570.62"/>
    <n v="2025"/>
    <n v="6"/>
    <s v="2025-06"/>
    <d v="2025-06-24T00:00:00"/>
    <s v="Tuesday  "/>
    <x v="1"/>
    <x v="1"/>
    <n v="948"/>
  </r>
  <r>
    <d v="2026-01-06T00:00:00"/>
    <s v="Payment Thank You-Mobile"/>
    <x v="12"/>
    <s v="Payment"/>
    <n v="-2000"/>
    <x v="92"/>
    <n v="2000"/>
    <n v="2026"/>
    <n v="1"/>
    <s v="2026-01"/>
    <d v="2026-01-06T00:00:00"/>
    <s v="Tuesday  "/>
    <x v="0"/>
    <x v="1"/>
    <n v="1778"/>
  </r>
  <r>
    <d v="2025-12-31T00:00:00"/>
    <s v="Payment Thank You - Web"/>
    <x v="12"/>
    <s v="Payment"/>
    <n v="-2350"/>
    <x v="92"/>
    <n v="2350"/>
    <n v="2025"/>
    <n v="12"/>
    <s v="2025-12"/>
    <d v="2025-12-31T00:00:00"/>
    <s v="Wednesday"/>
    <x v="0"/>
    <x v="1"/>
    <n v="1779"/>
  </r>
  <r>
    <d v="2026-01-11T00:00:00"/>
    <s v="CL *Chase Travel"/>
    <x v="1"/>
    <s v="Sale"/>
    <n v="31.91"/>
    <x v="130"/>
    <n v="31.91"/>
    <n v="2026"/>
    <n v="1"/>
    <s v="2026-01"/>
    <d v="2026-01-11T00:00:00"/>
    <s v="Sunday   "/>
    <x v="1"/>
    <x v="0"/>
    <n v="1037"/>
  </r>
  <r>
    <d v="2025-12-07T00:00:00"/>
    <s v="Payment Thank You - Web"/>
    <x v="12"/>
    <s v="Payment"/>
    <n v="-2000"/>
    <x v="92"/>
    <n v="2000"/>
    <n v="2025"/>
    <n v="12"/>
    <s v="2025-12"/>
    <d v="2025-12-07T00:00:00"/>
    <s v="Sunday   "/>
    <x v="0"/>
    <x v="1"/>
    <n v="1781"/>
  </r>
  <r>
    <d v="2025-08-17T00:00:00"/>
    <s v="Payment Thank You - Web"/>
    <x v="12"/>
    <s v="Payment"/>
    <n v="-5000"/>
    <x v="92"/>
    <n v="5000"/>
    <n v="2025"/>
    <n v="8"/>
    <s v="2025-08"/>
    <d v="2025-08-17T00:00:00"/>
    <s v="Sunday   "/>
    <x v="0"/>
    <x v="1"/>
    <n v="1786"/>
  </r>
  <r>
    <d v="2026-03-28T00:00:00"/>
    <s v="ASSOCIATES IN PSYCHIATRY"/>
    <x v="4"/>
    <s v="Sale"/>
    <n v="20"/>
    <x v="17"/>
    <n v="20"/>
    <n v="2026"/>
    <n v="3"/>
    <s v="2026-03"/>
    <d v="2026-03-28T00:00:00"/>
    <s v="Saturday "/>
    <x v="1"/>
    <x v="1"/>
    <n v="957"/>
  </r>
  <r>
    <d v="2026-02-26T00:00:00"/>
    <s v="The Law Office of Deni"/>
    <x v="11"/>
    <s v="Sale"/>
    <n v="4067.75"/>
    <x v="86"/>
    <n v="4067.75"/>
    <n v="2026"/>
    <n v="2"/>
    <s v="2026-02"/>
    <d v="2026-02-26T00:00:00"/>
    <s v="Thursday "/>
    <x v="1"/>
    <x v="1"/>
    <n v="969"/>
  </r>
  <r>
    <d v="2026-02-11T00:00:00"/>
    <s v="SC* CRYSTAL LAKE LITTL"/>
    <x v="2"/>
    <s v="Sale"/>
    <n v="293"/>
    <x v="132"/>
    <n v="293"/>
    <n v="2026"/>
    <n v="2"/>
    <s v="2026-02"/>
    <d v="2026-02-11T00:00:00"/>
    <s v="Wednesday"/>
    <x v="1"/>
    <x v="1"/>
    <n v="1015"/>
  </r>
  <r>
    <d v="2026-03-17T00:00:00"/>
    <s v="TARGET        00011668"/>
    <x v="4"/>
    <s v="Sale"/>
    <n v="34.42"/>
    <x v="90"/>
    <n v="34.42"/>
    <n v="2026"/>
    <n v="3"/>
    <s v="2026-03"/>
    <d v="2026-03-17T00:00:00"/>
    <s v="Tuesday  "/>
    <x v="1"/>
    <x v="1"/>
    <n v="1022"/>
  </r>
  <r>
    <d v="2026-03-07T00:00:00"/>
    <s v="TARGET        00011668"/>
    <x v="4"/>
    <s v="Sale"/>
    <n v="87.05"/>
    <x v="90"/>
    <n v="87.05"/>
    <n v="2026"/>
    <n v="3"/>
    <s v="2026-03"/>
    <d v="2026-03-07T00:00:00"/>
    <s v="Saturday "/>
    <x v="1"/>
    <x v="1"/>
    <n v="1023"/>
  </r>
  <r>
    <d v="2026-02-26T00:00:00"/>
    <s v="TARGET        00011668"/>
    <x v="4"/>
    <s v="Sale"/>
    <n v="18.420000000000002"/>
    <x v="90"/>
    <n v="18.420000000000002"/>
    <n v="2026"/>
    <n v="2"/>
    <s v="2026-02"/>
    <d v="2026-02-26T00:00:00"/>
    <s v="Thursday "/>
    <x v="1"/>
    <x v="1"/>
    <n v="1024"/>
  </r>
  <r>
    <d v="2026-01-26T00:00:00"/>
    <s v="UNITED      0164365258236"/>
    <x v="1"/>
    <s v="Sale"/>
    <n v="35"/>
    <x v="133"/>
    <n v="35"/>
    <n v="2026"/>
    <n v="1"/>
    <s v="2026-01"/>
    <d v="2026-01-26T00:00:00"/>
    <s v="Monday   "/>
    <x v="1"/>
    <x v="0"/>
    <n v="1039"/>
  </r>
  <r>
    <d v="2025-12-22T00:00:00"/>
    <s v="PRICELN*STAYBRIDGE SUI"/>
    <x v="1"/>
    <s v="Sale"/>
    <n v="168.02"/>
    <x v="134"/>
    <n v="168.02"/>
    <n v="2025"/>
    <n v="12"/>
    <s v="2025-12"/>
    <d v="2025-12-22T00:00:00"/>
    <s v="Monday   "/>
    <x v="1"/>
    <x v="0"/>
    <n v="1053"/>
  </r>
  <r>
    <d v="2026-02-26T00:00:00"/>
    <s v="TARGET        00011668"/>
    <x v="4"/>
    <s v="Sale"/>
    <n v="15"/>
    <x v="90"/>
    <n v="15"/>
    <n v="2026"/>
    <n v="2"/>
    <s v="2026-02"/>
    <d v="2026-02-26T00:00:00"/>
    <s v="Thursday "/>
    <x v="1"/>
    <x v="1"/>
    <n v="1025"/>
  </r>
  <r>
    <d v="2026-03-08T00:00:00"/>
    <s v="MURPHY7600ATWALMART"/>
    <x v="5"/>
    <s v="Sale"/>
    <n v="47.07"/>
    <x v="87"/>
    <n v="47.07"/>
    <n v="2026"/>
    <n v="3"/>
    <s v="2026-03"/>
    <d v="2026-03-08T00:00:00"/>
    <s v="Sunday   "/>
    <x v="1"/>
    <x v="1"/>
    <n v="1027"/>
  </r>
  <r>
    <d v="2026-02-26T00:00:00"/>
    <s v="MURPHY7579ATWALMART"/>
    <x v="5"/>
    <s v="Sale"/>
    <n v="47.1"/>
    <x v="87"/>
    <n v="47.1"/>
    <n v="2026"/>
    <n v="2"/>
    <s v="2026-02"/>
    <d v="2026-02-26T00:00:00"/>
    <s v="Thursday "/>
    <x v="1"/>
    <x v="1"/>
    <n v="1028"/>
  </r>
  <r>
    <d v="2026-02-12T00:00:00"/>
    <s v="MURPHY7600ATWALMART"/>
    <x v="5"/>
    <s v="Sale"/>
    <n v="51.88"/>
    <x v="87"/>
    <n v="51.88"/>
    <n v="2026"/>
    <n v="2"/>
    <s v="2026-02"/>
    <d v="2026-02-12T00:00:00"/>
    <s v="Thursday "/>
    <x v="1"/>
    <x v="1"/>
    <n v="1029"/>
  </r>
  <r>
    <d v="2026-01-21T00:00:00"/>
    <s v="DR MATTS OFFICE"/>
    <x v="4"/>
    <s v="Sale"/>
    <n v="40"/>
    <x v="15"/>
    <n v="40"/>
    <n v="2026"/>
    <n v="1"/>
    <s v="2026-01"/>
    <d v="2026-01-21T00:00:00"/>
    <s v="Wednesday"/>
    <x v="1"/>
    <x v="1"/>
    <n v="1030"/>
  </r>
  <r>
    <d v="2026-01-13T00:00:00"/>
    <s v="LIFETIME VISION &amp;amp; CONT"/>
    <x v="4"/>
    <s v="Sale"/>
    <n v="289.8"/>
    <x v="84"/>
    <n v="289.8"/>
    <n v="2026"/>
    <n v="1"/>
    <s v="2026-01"/>
    <d v="2026-01-13T00:00:00"/>
    <s v="Tuesday  "/>
    <x v="1"/>
    <x v="1"/>
    <n v="1033"/>
  </r>
  <r>
    <d v="2026-01-13T00:00:00"/>
    <s v="SHELL OIL 57445192701"/>
    <x v="5"/>
    <s v="Sale"/>
    <n v="50.16"/>
    <x v="75"/>
    <n v="50.16"/>
    <n v="2026"/>
    <n v="1"/>
    <s v="2026-01"/>
    <d v="2026-01-13T00:00:00"/>
    <s v="Tuesday  "/>
    <x v="1"/>
    <x v="1"/>
    <n v="1034"/>
  </r>
  <r>
    <d v="2025-12-02T00:00:00"/>
    <s v="OLDNAVY.COM 800-427-7895 CA_x000a_ONC91ICKW25FCMGHCJ2AD5"/>
    <x v="0"/>
    <s v="Sale"/>
    <n v="19.97"/>
    <x v="51"/>
    <n v="19.97"/>
    <n v="2025"/>
    <n v="12"/>
    <s v="2025-12"/>
    <d v="2025-12-02T00:00:00"/>
    <s v="Tuesday  "/>
    <x v="1"/>
    <x v="0"/>
    <n v="1418"/>
  </r>
  <r>
    <d v="2025-10-22T00:00:00"/>
    <s v="TEMU.COM 888-221-1161 MA"/>
    <x v="0"/>
    <s v="Sale"/>
    <n v="13.7"/>
    <x v="129"/>
    <n v="13.7"/>
    <n v="2025"/>
    <n v="10"/>
    <s v="2025-10"/>
    <d v="2025-10-22T00:00:00"/>
    <s v="Wednesday"/>
    <x v="1"/>
    <x v="0"/>
    <n v="1434"/>
  </r>
  <r>
    <d v="2025-10-22T00:00:00"/>
    <s v="TEMU.COM 888-221-1161 MA"/>
    <x v="0"/>
    <s v="Sale"/>
    <n v="12.97"/>
    <x v="129"/>
    <n v="12.97"/>
    <n v="2025"/>
    <n v="10"/>
    <s v="2025-10"/>
    <d v="2025-10-22T00:00:00"/>
    <s v="Wednesday"/>
    <x v="1"/>
    <x v="0"/>
    <n v="1435"/>
  </r>
  <r>
    <d v="2025-10-22T00:00:00"/>
    <s v="TEMU.COM 888-221-1161 MA"/>
    <x v="0"/>
    <s v="Sale"/>
    <n v="12.97"/>
    <x v="129"/>
    <n v="12.97"/>
    <n v="2025"/>
    <n v="10"/>
    <s v="2025-10"/>
    <d v="2025-10-22T00:00:00"/>
    <s v="Wednesday"/>
    <x v="1"/>
    <x v="0"/>
    <n v="1440"/>
  </r>
  <r>
    <d v="2025-12-30T00:00:00"/>
    <s v="CRYSTAL LAKE IMM CARE PHY"/>
    <x v="4"/>
    <s v="Sale"/>
    <n v="20"/>
    <x v="100"/>
    <n v="20"/>
    <n v="2025"/>
    <n v="12"/>
    <s v="2025-12"/>
    <d v="2025-12-30T00:00:00"/>
    <s v="Tuesday  "/>
    <x v="1"/>
    <x v="1"/>
    <n v="1036"/>
  </r>
  <r>
    <d v="2026-01-20T00:00:00"/>
    <s v="SAMS CLUB #6339"/>
    <x v="5"/>
    <s v="Sale"/>
    <n v="41.97"/>
    <x v="61"/>
    <n v="41.97"/>
    <n v="2026"/>
    <n v="1"/>
    <s v="2026-01"/>
    <d v="2026-01-20T00:00:00"/>
    <s v="Tuesday  "/>
    <x v="1"/>
    <x v="1"/>
    <n v="1031"/>
  </r>
  <r>
    <d v="2025-10-22T00:00:00"/>
    <s v="TEMU.COM 888-221-1161 MA"/>
    <x v="0"/>
    <s v="Sale"/>
    <n v="10.29"/>
    <x v="129"/>
    <n v="10.29"/>
    <n v="2025"/>
    <n v="10"/>
    <s v="2025-10"/>
    <d v="2025-10-22T00:00:00"/>
    <s v="Wednesday"/>
    <x v="1"/>
    <x v="0"/>
    <n v="1441"/>
  </r>
  <r>
    <d v="2025-10-22T00:00:00"/>
    <s v="TEMU.COM 888-221-1161 MA"/>
    <x v="0"/>
    <s v="Sale"/>
    <n v="9.6199999999999992"/>
    <x v="129"/>
    <n v="9.6199999999999992"/>
    <n v="2025"/>
    <n v="10"/>
    <s v="2025-10"/>
    <d v="2025-10-22T00:00:00"/>
    <s v="Wednesday"/>
    <x v="1"/>
    <x v="0"/>
    <n v="1442"/>
  </r>
  <r>
    <d v="2026-01-27T00:00:00"/>
    <s v="MURPHY7579ATWALMART"/>
    <x v="5"/>
    <s v="Sale"/>
    <n v="50.42"/>
    <x v="87"/>
    <n v="50.42"/>
    <n v="2026"/>
    <n v="1"/>
    <s v="2026-01"/>
    <d v="2026-01-27T00:00:00"/>
    <s v="Tuesday  "/>
    <x v="1"/>
    <x v="1"/>
    <n v="1120"/>
  </r>
  <r>
    <d v="2026-01-01T00:00:00"/>
    <s v="MURPHY7600ATWALMART"/>
    <x v="5"/>
    <s v="Sale"/>
    <n v="44.95"/>
    <x v="87"/>
    <n v="44.95"/>
    <n v="2026"/>
    <n v="1"/>
    <s v="2026-01"/>
    <d v="2026-01-01T00:00:00"/>
    <s v="Thursday "/>
    <x v="1"/>
    <x v="1"/>
    <n v="1121"/>
  </r>
  <r>
    <d v="2025-12-23T00:00:00"/>
    <s v="MURPHY7579ATWALMART"/>
    <x v="5"/>
    <s v="Sale"/>
    <n v="39.96"/>
    <x v="87"/>
    <n v="39.96"/>
    <n v="2025"/>
    <n v="12"/>
    <s v="2025-12"/>
    <d v="2025-12-23T00:00:00"/>
    <s v="Tuesday  "/>
    <x v="1"/>
    <x v="1"/>
    <n v="1122"/>
  </r>
  <r>
    <d v="2025-12-17T00:00:00"/>
    <s v="TARGET        00011668"/>
    <x v="4"/>
    <s v="Sale"/>
    <n v="85"/>
    <x v="90"/>
    <n v="85"/>
    <n v="2025"/>
    <n v="12"/>
    <s v="2025-12"/>
    <d v="2025-12-17T00:00:00"/>
    <s v="Wednesday"/>
    <x v="1"/>
    <x v="1"/>
    <n v="1123"/>
  </r>
  <r>
    <d v="2025-12-08T00:00:00"/>
    <s v="SHELL OIL 57443514401"/>
    <x v="5"/>
    <s v="Sale"/>
    <n v="15"/>
    <x v="75"/>
    <n v="15"/>
    <n v="2025"/>
    <n v="12"/>
    <s v="2025-12"/>
    <d v="2025-12-08T00:00:00"/>
    <s v="Monday   "/>
    <x v="1"/>
    <x v="1"/>
    <n v="1124"/>
  </r>
  <r>
    <d v="2025-12-08T00:00:00"/>
    <s v="REBECCA LEIFELD MA  LCPC"/>
    <x v="4"/>
    <s v="Sale"/>
    <n v="20"/>
    <x v="62"/>
    <n v="20"/>
    <n v="2025"/>
    <n v="12"/>
    <s v="2025-12"/>
    <d v="2025-12-08T00:00:00"/>
    <s v="Monday   "/>
    <x v="1"/>
    <x v="1"/>
    <n v="1125"/>
  </r>
  <r>
    <d v="2025-10-22T00:00:00"/>
    <s v="TEMU.COM 888-221-1161 MA"/>
    <x v="0"/>
    <s v="Sale"/>
    <n v="9.24"/>
    <x v="129"/>
    <n v="9.24"/>
    <n v="2025"/>
    <n v="10"/>
    <s v="2025-10"/>
    <d v="2025-10-22T00:00:00"/>
    <s v="Wednesday"/>
    <x v="1"/>
    <x v="0"/>
    <n v="1443"/>
  </r>
  <r>
    <d v="2025-10-22T00:00:00"/>
    <s v="TEMU.COM 888-221-1161 MA"/>
    <x v="0"/>
    <s v="Sale"/>
    <n v="6.41"/>
    <x v="129"/>
    <n v="6.41"/>
    <n v="2025"/>
    <n v="10"/>
    <s v="2025-10"/>
    <d v="2025-10-22T00:00:00"/>
    <s v="Wednesday"/>
    <x v="1"/>
    <x v="0"/>
    <n v="1462"/>
  </r>
  <r>
    <d v="2025-11-14T00:00:00"/>
    <s v="MSC Cruises USA"/>
    <x v="1"/>
    <s v="Sale"/>
    <n v="947.28"/>
    <x v="101"/>
    <n v="947.28"/>
    <n v="2025"/>
    <n v="11"/>
    <s v="2025-11"/>
    <d v="2025-11-14T00:00:00"/>
    <s v="Friday   "/>
    <x v="1"/>
    <x v="0"/>
    <n v="1141"/>
  </r>
  <r>
    <d v="2025-05-22T00:00:00"/>
    <s v="AUTOMATIC PAYMENT - THANK"/>
    <x v="12"/>
    <s v="Payment"/>
    <n v="-430.86"/>
    <x v="92"/>
    <n v="430.86"/>
    <n v="2025"/>
    <n v="5"/>
    <s v="2025-05"/>
    <d v="2025-05-22T00:00:00"/>
    <s v="Thursday "/>
    <x v="0"/>
    <x v="1"/>
    <n v="942"/>
  </r>
  <r>
    <d v="2025-07-14T00:00:00"/>
    <s v="TOTALAV.COM LOS ANGELES CA"/>
    <x v="0"/>
    <s v="Sale"/>
    <n v="39"/>
    <x v="135"/>
    <n v="39"/>
    <n v="2025"/>
    <n v="7"/>
    <s v="2025-07"/>
    <d v="2025-07-14T00:00:00"/>
    <s v="Monday   "/>
    <x v="1"/>
    <x v="0"/>
    <n v="1467"/>
  </r>
  <r>
    <d v="2025-06-28T00:00:00"/>
    <s v="ROAD RUNNER SPORTS 800-743-3206 CA"/>
    <x v="0"/>
    <s v="Sale"/>
    <n v="69.989999999999995"/>
    <x v="136"/>
    <n v="69.989999999999995"/>
    <n v="2025"/>
    <n v="6"/>
    <s v="2025-06"/>
    <d v="2025-06-28T00:00:00"/>
    <s v="Saturday "/>
    <x v="1"/>
    <x v="0"/>
    <n v="1468"/>
  </r>
  <r>
    <d v="2025-10-12T00:00:00"/>
    <s v="HAMPTON INNS"/>
    <x v="1"/>
    <s v="Sale"/>
    <n v="60"/>
    <x v="137"/>
    <n v="60"/>
    <n v="2025"/>
    <n v="10"/>
    <s v="2025-10"/>
    <d v="2025-10-12T00:00:00"/>
    <s v="Sunday   "/>
    <x v="1"/>
    <x v="0"/>
    <n v="1146"/>
  </r>
  <r>
    <d v="2025-10-03T00:00:00"/>
    <s v="CL *Chase Travel"/>
    <x v="1"/>
    <s v="Sale"/>
    <n v="89.48"/>
    <x v="130"/>
    <n v="89.48"/>
    <n v="2025"/>
    <n v="10"/>
    <s v="2025-10"/>
    <d v="2025-10-03T00:00:00"/>
    <s v="Friday   "/>
    <x v="1"/>
    <x v="0"/>
    <n v="1198"/>
  </r>
  <r>
    <d v="2025-08-13T00:00:00"/>
    <s v="HYATT PLACE ATLANTA CP"/>
    <x v="1"/>
    <s v="Sale"/>
    <n v="240"/>
    <x v="138"/>
    <n v="240"/>
    <n v="2025"/>
    <n v="8"/>
    <s v="2025-08"/>
    <d v="2025-08-13T00:00:00"/>
    <s v="Wednesday"/>
    <x v="1"/>
    <x v="0"/>
    <n v="1207"/>
  </r>
  <r>
    <d v="2025-07-30T00:00:00"/>
    <s v="METRA"/>
    <x v="1"/>
    <s v="Sale"/>
    <n v="6.75"/>
    <x v="139"/>
    <n v="6.75"/>
    <n v="2025"/>
    <n v="7"/>
    <s v="2025-07"/>
    <d v="2025-07-30T00:00:00"/>
    <s v="Wednesday"/>
    <x v="1"/>
    <x v="0"/>
    <n v="1226"/>
  </r>
  <r>
    <d v="2025-12-08T00:00:00"/>
    <s v="DR MATTS OFFICE"/>
    <x v="4"/>
    <s v="Sale"/>
    <n v="40"/>
    <x v="15"/>
    <n v="40"/>
    <n v="2025"/>
    <n v="12"/>
    <s v="2025-12"/>
    <d v="2025-12-08T00:00:00"/>
    <s v="Monday   "/>
    <x v="1"/>
    <x v="1"/>
    <n v="1126"/>
  </r>
  <r>
    <d v="2025-11-04T00:00:00"/>
    <s v="SAMS CLUB #6339"/>
    <x v="5"/>
    <s v="Sale"/>
    <n v="51.95"/>
    <x v="61"/>
    <n v="51.95"/>
    <n v="2025"/>
    <n v="11"/>
    <s v="2025-11"/>
    <d v="2025-11-04T00:00:00"/>
    <s v="Tuesday  "/>
    <x v="1"/>
    <x v="1"/>
    <n v="1127"/>
  </r>
  <r>
    <d v="2025-11-08T00:00:00"/>
    <s v="TARGET        00011668"/>
    <x v="4"/>
    <s v="Sale"/>
    <n v="79.86"/>
    <x v="90"/>
    <n v="79.86"/>
    <n v="2025"/>
    <n v="11"/>
    <s v="2025-11"/>
    <d v="2025-11-08T00:00:00"/>
    <s v="Saturday "/>
    <x v="1"/>
    <x v="1"/>
    <n v="1195"/>
  </r>
  <r>
    <d v="2025-12-09T00:00:00"/>
    <s v="MURPHY7579ATWALMART"/>
    <x v="5"/>
    <s v="Sale"/>
    <n v="32.130000000000003"/>
    <x v="87"/>
    <n v="32.130000000000003"/>
    <n v="2025"/>
    <n v="12"/>
    <s v="2025-12"/>
    <d v="2025-12-09T00:00:00"/>
    <s v="Tuesday  "/>
    <x v="1"/>
    <x v="1"/>
    <n v="1196"/>
  </r>
  <r>
    <d v="2025-12-01T00:00:00"/>
    <s v="MURPHY7579ATWALMART"/>
    <x v="5"/>
    <s v="Sale"/>
    <n v="45.75"/>
    <x v="87"/>
    <n v="45.75"/>
    <n v="2025"/>
    <n v="12"/>
    <s v="2025-12"/>
    <d v="2025-12-01T00:00:00"/>
    <s v="Monday   "/>
    <x v="1"/>
    <x v="1"/>
    <n v="1197"/>
  </r>
  <r>
    <d v="2025-06-27T00:00:00"/>
    <s v="SAMSCLUB #6339"/>
    <x v="5"/>
    <s v="Sale"/>
    <n v="53.91"/>
    <x v="61"/>
    <n v="53.91"/>
    <n v="2025"/>
    <n v="6"/>
    <s v="2025-06"/>
    <d v="2025-06-27T00:00:00"/>
    <s v="Friday   "/>
    <x v="1"/>
    <x v="1"/>
    <n v="1296"/>
  </r>
  <r>
    <d v="2025-07-18T00:00:00"/>
    <s v="GRAND BEAR RESORT"/>
    <x v="1"/>
    <s v="Return"/>
    <n v="-202.8"/>
    <x v="140"/>
    <n v="202.8"/>
    <n v="2025"/>
    <n v="7"/>
    <s v="2025-07"/>
    <d v="2025-07-18T00:00:00"/>
    <s v="Friday   "/>
    <x v="0"/>
    <x v="0"/>
    <n v="1235"/>
  </r>
  <r>
    <d v="2025-07-17T00:00:00"/>
    <s v="GRAND BEAR RESORT"/>
    <x v="1"/>
    <s v="Sale"/>
    <n v="208.88"/>
    <x v="140"/>
    <n v="208.88"/>
    <n v="2025"/>
    <n v="7"/>
    <s v="2025-07"/>
    <d v="2025-07-17T00:00:00"/>
    <s v="Thursday "/>
    <x v="1"/>
    <x v="0"/>
    <n v="1237"/>
  </r>
  <r>
    <d v="2025-06-11T00:00:00"/>
    <s v="SAMSCLUB #6339"/>
    <x v="5"/>
    <s v="Sale"/>
    <n v="47.69"/>
    <x v="61"/>
    <n v="47.69"/>
    <n v="2025"/>
    <n v="6"/>
    <s v="2025-06"/>
    <d v="2025-06-11T00:00:00"/>
    <s v="Wednesday"/>
    <x v="1"/>
    <x v="1"/>
    <n v="1312"/>
  </r>
  <r>
    <d v="2025-07-21T00:00:00"/>
    <s v="SC* CRYSTAL LAKE LITTL"/>
    <x v="2"/>
    <s v="Sale"/>
    <n v="98"/>
    <x v="132"/>
    <n v="98"/>
    <n v="2025"/>
    <n v="7"/>
    <s v="2025-07"/>
    <d v="2025-07-21T00:00:00"/>
    <s v="Monday   "/>
    <x v="1"/>
    <x v="1"/>
    <n v="1258"/>
  </r>
  <r>
    <d v="2025-08-22T00:00:00"/>
    <s v="TARGET        00011668"/>
    <x v="4"/>
    <s v="Sale"/>
    <n v="42.36"/>
    <x v="90"/>
    <n v="42.36"/>
    <n v="2025"/>
    <n v="8"/>
    <s v="2025-08"/>
    <d v="2025-08-22T00:00:00"/>
    <s v="Friday   "/>
    <x v="1"/>
    <x v="1"/>
    <n v="1303"/>
  </r>
  <r>
    <d v="2025-11-28T00:00:00"/>
    <s v="TEMU.COM 888-221-1161 MA"/>
    <x v="0"/>
    <s v="Return"/>
    <n v="-3.33"/>
    <x v="129"/>
    <n v="3.33"/>
    <n v="2025"/>
    <n v="11"/>
    <s v="2025-11"/>
    <d v="2025-11-28T00:00:00"/>
    <s v="Friday   "/>
    <x v="0"/>
    <x v="0"/>
    <n v="1404"/>
  </r>
  <r>
    <d v="2025-07-18T00:00:00"/>
    <s v="TARGET        00011668"/>
    <x v="4"/>
    <s v="Sale"/>
    <n v="18.170000000000002"/>
    <x v="90"/>
    <n v="18.170000000000002"/>
    <n v="2025"/>
    <n v="7"/>
    <s v="2025-07"/>
    <d v="2025-07-18T00:00:00"/>
    <s v="Friday   "/>
    <x v="1"/>
    <x v="1"/>
    <n v="1304"/>
  </r>
  <r>
    <d v="2025-08-16T00:00:00"/>
    <s v="MURPHY7527ATWALMART"/>
    <x v="5"/>
    <s v="Sale"/>
    <n v="56.64"/>
    <x v="87"/>
    <n v="56.64"/>
    <n v="2025"/>
    <n v="8"/>
    <s v="2025-08"/>
    <d v="2025-08-16T00:00:00"/>
    <s v="Saturday "/>
    <x v="1"/>
    <x v="1"/>
    <n v="1305"/>
  </r>
  <r>
    <d v="2025-11-28T00:00:00"/>
    <s v="TEMU.COM 888-221-1161 MA"/>
    <x v="0"/>
    <s v="Return"/>
    <n v="-3.96"/>
    <x v="129"/>
    <n v="3.96"/>
    <n v="2025"/>
    <n v="11"/>
    <s v="2025-11"/>
    <d v="2025-11-28T00:00:00"/>
    <s v="Friday   "/>
    <x v="0"/>
    <x v="0"/>
    <n v="1405"/>
  </r>
  <r>
    <d v="2025-05-20T00:00:00"/>
    <s v="SHELL OIL 57445192701"/>
    <x v="5"/>
    <s v="Sale"/>
    <n v="61.07"/>
    <x v="75"/>
    <n v="61.07"/>
    <n v="2025"/>
    <n v="5"/>
    <s v="2025-05"/>
    <d v="2025-05-20T00:00:00"/>
    <s v="Tuesday  "/>
    <x v="1"/>
    <x v="1"/>
    <n v="1348"/>
  </r>
  <r>
    <d v="2025-05-19T00:00:00"/>
    <s v="REBECCA LEIFELD MA  LCPC"/>
    <x v="4"/>
    <s v="Sale"/>
    <n v="20"/>
    <x v="62"/>
    <n v="20"/>
    <n v="2025"/>
    <n v="5"/>
    <s v="2025-05"/>
    <d v="2025-05-19T00:00:00"/>
    <s v="Monday   "/>
    <x v="1"/>
    <x v="1"/>
    <n v="1349"/>
  </r>
  <r>
    <d v="2025-05-12T00:00:00"/>
    <s v="ADVOCATE PATIENT PAYMENT"/>
    <x v="4"/>
    <s v="Sale"/>
    <n v="40"/>
    <x v="85"/>
    <n v="40"/>
    <n v="2025"/>
    <n v="5"/>
    <s v="2025-05"/>
    <d v="2025-05-12T00:00:00"/>
    <s v="Monday   "/>
    <x v="1"/>
    <x v="1"/>
    <n v="1350"/>
  </r>
  <r>
    <d v="2025-05-20T00:00:00"/>
    <s v="ASSOCIATES IN PSYCHIATRY"/>
    <x v="4"/>
    <s v="Sale"/>
    <n v="20"/>
    <x v="17"/>
    <n v="20"/>
    <n v="2025"/>
    <n v="5"/>
    <s v="2025-05"/>
    <d v="2025-05-20T00:00:00"/>
    <s v="Tuesday  "/>
    <x v="1"/>
    <x v="1"/>
    <n v="1361"/>
  </r>
  <r>
    <d v="2025-05-13T00:00:00"/>
    <s v="TARGET        00011668"/>
    <x v="4"/>
    <s v="Sale"/>
    <n v="4.0599999999999996"/>
    <x v="90"/>
    <n v="4.0599999999999996"/>
    <n v="2025"/>
    <n v="5"/>
    <s v="2025-05"/>
    <d v="2025-05-13T00:00:00"/>
    <s v="Tuesday  "/>
    <x v="1"/>
    <x v="1"/>
    <n v="1402"/>
  </r>
  <r>
    <d v="2025-07-18T00:00:00"/>
    <s v="WW INT'L-DIGITAL 800-221-2112 NY_x000a_52875359"/>
    <x v="4"/>
    <s v="Sale"/>
    <n v="11"/>
    <x v="25"/>
    <n v="11"/>
    <n v="2025"/>
    <n v="7"/>
    <s v="2025-07"/>
    <d v="2025-07-18T00:00:00"/>
    <s v="Friday   "/>
    <x v="1"/>
    <x v="1"/>
    <n v="1498"/>
  </r>
  <r>
    <d v="2025-09-17T00:00:00"/>
    <s v="TRICOCI - CRYSTAL LAKE TRICOCI.COM IL"/>
    <x v="4"/>
    <s v="Sale"/>
    <n v="130"/>
    <x v="124"/>
    <n v="130"/>
    <n v="2025"/>
    <n v="9"/>
    <s v="2025-09"/>
    <d v="2025-09-17T00:00:00"/>
    <s v="Wednesday"/>
    <x v="1"/>
    <x v="1"/>
    <n v="1499"/>
  </r>
  <r>
    <d v="2025-08-20T00:00:00"/>
    <s v="REBECCA LEIFELD MA, LCPC 847-710-1764 IL"/>
    <x v="4"/>
    <s v="Sale"/>
    <n v="20"/>
    <x v="62"/>
    <n v="20"/>
    <n v="2025"/>
    <n v="8"/>
    <s v="2025-08"/>
    <d v="2025-08-20T00:00:00"/>
    <s v="Wednesday"/>
    <x v="1"/>
    <x v="1"/>
    <n v="1500"/>
  </r>
  <r>
    <d v="2025-07-14T00:00:00"/>
    <s v="REBECCA LEIFELD MA, LCPC 847-710-1764 IL"/>
    <x v="4"/>
    <s v="Sale"/>
    <n v="20"/>
    <x v="62"/>
    <n v="20"/>
    <n v="2025"/>
    <n v="7"/>
    <s v="2025-07"/>
    <d v="2025-07-14T00:00:00"/>
    <s v="Monday   "/>
    <x v="1"/>
    <x v="1"/>
    <n v="1501"/>
  </r>
  <r>
    <d v="2025-11-28T00:00:00"/>
    <s v="TEMU.COM 888-221-1161 MA"/>
    <x v="0"/>
    <s v="Return"/>
    <n v="-6.25"/>
    <x v="129"/>
    <n v="6.25"/>
    <n v="2025"/>
    <n v="11"/>
    <s v="2025-11"/>
    <d v="2025-11-28T00:00:00"/>
    <s v="Friday   "/>
    <x v="0"/>
    <x v="0"/>
    <n v="1406"/>
  </r>
  <r>
    <d v="2025-11-28T00:00:00"/>
    <s v="TEMU.COM 888-221-1161 MA"/>
    <x v="0"/>
    <s v="Return"/>
    <n v="-6.56"/>
    <x v="129"/>
    <n v="6.56"/>
    <n v="2025"/>
    <n v="11"/>
    <s v="2025-11"/>
    <d v="2025-11-28T00:00:00"/>
    <s v="Friday   "/>
    <x v="0"/>
    <x v="0"/>
    <n v="1407"/>
  </r>
  <r>
    <d v="2026-01-21T00:00:00"/>
    <s v="PRIME VIDEO CHANNELS AMZN.COM/BILLWA"/>
    <x v="8"/>
    <s v="Sale"/>
    <n v="12.99"/>
    <x v="141"/>
    <n v="12.99"/>
    <n v="2026"/>
    <n v="1"/>
    <s v="2026-01"/>
    <d v="2026-01-21T00:00:00"/>
    <s v="Wednesday"/>
    <x v="1"/>
    <x v="0"/>
    <n v="1413"/>
  </r>
  <r>
    <d v="2025-12-21T00:00:00"/>
    <s v="PRIME VIDEO CHANNELS AMZN.COM/BILLWA_x000a_7F4HJUYX78N"/>
    <x v="8"/>
    <s v="Sale"/>
    <n v="12.99"/>
    <x v="141"/>
    <n v="12.99"/>
    <n v="2025"/>
    <n v="12"/>
    <s v="2025-12"/>
    <d v="2025-12-21T00:00:00"/>
    <s v="Sunday   "/>
    <x v="1"/>
    <x v="0"/>
    <n v="1414"/>
  </r>
  <r>
    <d v="2025-11-21T00:00:00"/>
    <s v="PRIME VIDEO CHANNELS AMZN.COM/BILLWA_x000a_QEZ5AA78P06"/>
    <x v="8"/>
    <s v="Sale"/>
    <n v="12.99"/>
    <x v="141"/>
    <n v="12.99"/>
    <n v="2025"/>
    <n v="11"/>
    <s v="2025-11"/>
    <d v="2025-11-21T00:00:00"/>
    <s v="Friday   "/>
    <x v="1"/>
    <x v="0"/>
    <n v="1415"/>
  </r>
  <r>
    <d v="2025-05-07T00:00:00"/>
    <s v="TEMU.COM 888-221-1161 MA"/>
    <x v="0"/>
    <s v="Return"/>
    <n v="-16.309999999999999"/>
    <x v="129"/>
    <n v="16.309999999999999"/>
    <n v="2025"/>
    <n v="5"/>
    <s v="2025-05"/>
    <d v="2025-05-07T00:00:00"/>
    <s v="Wednesday"/>
    <x v="0"/>
    <x v="0"/>
    <n v="1471"/>
  </r>
  <r>
    <d v="2025-08-20T00:00:00"/>
    <s v="JIMMY JOHNS - 0585 - ECO WOODSTOCK IL"/>
    <x v="3"/>
    <s v="Sale"/>
    <n v="20.47"/>
    <x v="36"/>
    <n v="20.47"/>
    <n v="2025"/>
    <n v="8"/>
    <s v="2025-08"/>
    <d v="2025-08-20T00:00:00"/>
    <s v="Wednesday"/>
    <x v="1"/>
    <x v="0"/>
    <n v="1422"/>
  </r>
  <r>
    <d v="2025-08-01T00:00:00"/>
    <s v="TACO BELL #035323 ELBURN IL"/>
    <x v="3"/>
    <s v="Sale"/>
    <n v="17.68"/>
    <x v="116"/>
    <n v="17.68"/>
    <n v="2025"/>
    <n v="8"/>
    <s v="2025-08"/>
    <d v="2025-08-01T00:00:00"/>
    <s v="Friday   "/>
    <x v="1"/>
    <x v="0"/>
    <n v="1423"/>
  </r>
  <r>
    <d v="2025-07-23T00:00:00"/>
    <s v="TACO BELL #30401 WOODSTOCK IL"/>
    <x v="3"/>
    <s v="Sale"/>
    <n v="18.59"/>
    <x v="116"/>
    <n v="18.59"/>
    <n v="2025"/>
    <n v="7"/>
    <s v="2025-07"/>
    <d v="2025-07-23T00:00:00"/>
    <s v="Wednesday"/>
    <x v="1"/>
    <x v="0"/>
    <n v="1424"/>
  </r>
  <r>
    <d v="2025-07-19T00:00:00"/>
    <s v="OUTBACK 1421 CRYSTAL LAKE IL_x000a_01969Q"/>
    <x v="3"/>
    <s v="Sale"/>
    <n v="85.37"/>
    <x v="142"/>
    <n v="85.37"/>
    <n v="2025"/>
    <n v="7"/>
    <s v="2025-07"/>
    <d v="2025-07-19T00:00:00"/>
    <s v="Saturday "/>
    <x v="1"/>
    <x v="0"/>
    <n v="1425"/>
  </r>
  <r>
    <d v="2026-03-22T00:00:00"/>
    <s v="AUTOMATIC PAYMENT - THANK"/>
    <x v="12"/>
    <s v="Payment"/>
    <n v="-670.43"/>
    <x v="92"/>
    <n v="670.43"/>
    <n v="2026"/>
    <n v="3"/>
    <s v="2026-03"/>
    <d v="2026-03-22T00:00:00"/>
    <s v="Sunday   "/>
    <x v="0"/>
    <x v="1"/>
    <n v="944"/>
  </r>
  <r>
    <d v="2025-08-22T00:00:00"/>
    <s v="AUTOMATIC PAYMENT - THANK"/>
    <x v="12"/>
    <s v="Payment"/>
    <n v="-2286.41"/>
    <x v="92"/>
    <n v="2286.41"/>
    <n v="2025"/>
    <n v="8"/>
    <s v="2025-08"/>
    <d v="2025-08-22T00:00:00"/>
    <s v="Friday   "/>
    <x v="0"/>
    <x v="1"/>
    <n v="1785"/>
  </r>
  <r>
    <d v="2025-07-22T00:00:00"/>
    <s v="AUTOMATIC PAYMENT - THANK"/>
    <x v="12"/>
    <s v="Payment"/>
    <n v="-2804.88"/>
    <x v="92"/>
    <n v="2804.88"/>
    <n v="2025"/>
    <n v="7"/>
    <s v="2025-07"/>
    <d v="2025-07-22T00:00:00"/>
    <s v="Tuesday  "/>
    <x v="0"/>
    <x v="1"/>
    <n v="1787"/>
  </r>
  <r>
    <d v="2026-03-03T00:00:00"/>
    <s v="BOOST MOBILE 833-502-6678 CO"/>
    <x v="13"/>
    <s v="Sale"/>
    <n v="35.18"/>
    <x v="108"/>
    <n v="35.18"/>
    <n v="2026"/>
    <n v="3"/>
    <s v="2026-03"/>
    <d v="2026-03-03T00:00:00"/>
    <s v="Tuesday  "/>
    <x v="1"/>
    <x v="1"/>
    <n v="1812"/>
  </r>
  <r>
    <d v="2026-02-03T00:00:00"/>
    <s v="BOOST MOBILE 833-502-6678 CO"/>
    <x v="13"/>
    <s v="Sale"/>
    <n v="66.069999999999993"/>
    <x v="108"/>
    <n v="66.069999999999993"/>
    <n v="2026"/>
    <n v="2"/>
    <s v="2026-02"/>
    <d v="2026-02-03T00:00:00"/>
    <s v="Tuesday  "/>
    <x v="1"/>
    <x v="1"/>
    <n v="1813"/>
  </r>
  <r>
    <d v="2026-01-25T00:00:00"/>
    <s v="BOOST MOBILE 833-502-6678 CO"/>
    <x v="13"/>
    <s v="Sale"/>
    <n v="10"/>
    <x v="108"/>
    <n v="10"/>
    <n v="2026"/>
    <n v="1"/>
    <s v="2026-01"/>
    <d v="2026-01-25T00:00:00"/>
    <s v="Sunday   "/>
    <x v="1"/>
    <x v="1"/>
    <n v="1814"/>
  </r>
  <r>
    <d v="2026-01-25T00:00:00"/>
    <s v="BOOST MOBILE 833-502-6678 CO"/>
    <x v="13"/>
    <s v="Sale"/>
    <n v="6.07"/>
    <x v="108"/>
    <n v="6.07"/>
    <n v="2026"/>
    <n v="1"/>
    <s v="2026-01"/>
    <d v="2026-01-25T00:00:00"/>
    <s v="Sunday   "/>
    <x v="1"/>
    <x v="1"/>
    <n v="1815"/>
  </r>
  <r>
    <d v="2026-01-03T00:00:00"/>
    <s v="BOOST MOBILE 833-502-6678 CO"/>
    <x v="13"/>
    <s v="Sale"/>
    <n v="35.18"/>
    <x v="108"/>
    <n v="35.18"/>
    <n v="2026"/>
    <n v="1"/>
    <s v="2026-01"/>
    <d v="2026-01-03T00:00:00"/>
    <s v="Saturday "/>
    <x v="1"/>
    <x v="1"/>
    <n v="1816"/>
  </r>
  <r>
    <d v="2025-12-07T00:00:00"/>
    <s v="BOOST MOBILE 833-502-6678 CO"/>
    <x v="13"/>
    <s v="Sale"/>
    <n v="10"/>
    <x v="108"/>
    <n v="10"/>
    <n v="2025"/>
    <n v="12"/>
    <s v="2025-12"/>
    <d v="2025-12-07T00:00:00"/>
    <s v="Sunday   "/>
    <x v="1"/>
    <x v="1"/>
    <n v="1817"/>
  </r>
  <r>
    <d v="2025-12-03T00:00:00"/>
    <s v="BOOST MOBILE 833-502-6678 CO"/>
    <x v="13"/>
    <s v="Sale"/>
    <n v="25.19"/>
    <x v="108"/>
    <n v="25.19"/>
    <n v="2025"/>
    <n v="12"/>
    <s v="2025-12"/>
    <d v="2025-12-03T00:00:00"/>
    <s v="Wednesday"/>
    <x v="1"/>
    <x v="1"/>
    <n v="1818"/>
  </r>
  <r>
    <d v="2025-11-03T00:00:00"/>
    <s v="BOOST MOBILE 833-502-6678 CO"/>
    <x v="13"/>
    <s v="Sale"/>
    <n v="25.19"/>
    <x v="108"/>
    <n v="25.19"/>
    <n v="2025"/>
    <n v="11"/>
    <s v="2025-11"/>
    <d v="2025-11-03T00:00:00"/>
    <s v="Monday   "/>
    <x v="1"/>
    <x v="1"/>
    <n v="1819"/>
  </r>
  <r>
    <d v="2025-10-03T00:00:00"/>
    <s v="BOOST MOBILE 720-514-6421 CO"/>
    <x v="13"/>
    <s v="Sale"/>
    <n v="25.19"/>
    <x v="108"/>
    <n v="25.19"/>
    <n v="2025"/>
    <n v="10"/>
    <s v="2025-10"/>
    <d v="2025-10-03T00:00:00"/>
    <s v="Friday   "/>
    <x v="1"/>
    <x v="1"/>
    <n v="1820"/>
  </r>
  <r>
    <d v="2025-09-03T00:00:00"/>
    <s v="BOOST MOBILE 833-502-6678 CO_x000a_7KNF9P2YANA"/>
    <x v="13"/>
    <s v="Sale"/>
    <n v="25.18"/>
    <x v="108"/>
    <n v="25.18"/>
    <n v="2025"/>
    <n v="9"/>
    <s v="2025-09"/>
    <d v="2025-09-03T00:00:00"/>
    <s v="Wednesday"/>
    <x v="1"/>
    <x v="1"/>
    <n v="1821"/>
  </r>
  <r>
    <d v="2025-08-03T00:00:00"/>
    <s v="BOOST MOBILE 833-502-6678 CO"/>
    <x v="13"/>
    <s v="Sale"/>
    <n v="25.18"/>
    <x v="108"/>
    <n v="25.18"/>
    <n v="2025"/>
    <n v="8"/>
    <s v="2025-08"/>
    <d v="2025-08-03T00:00:00"/>
    <s v="Sunday   "/>
    <x v="1"/>
    <x v="1"/>
    <n v="1822"/>
  </r>
  <r>
    <d v="2025-07-03T00:00:00"/>
    <s v="BOOST MOBILE 833-502-6678 CO"/>
    <x v="13"/>
    <s v="Sale"/>
    <n v="25.18"/>
    <x v="108"/>
    <n v="25.18"/>
    <n v="2025"/>
    <n v="7"/>
    <s v="2025-07"/>
    <d v="2025-07-03T00:00:00"/>
    <s v="Thursday "/>
    <x v="1"/>
    <x v="1"/>
    <n v="1823"/>
  </r>
  <r>
    <d v="2026-02-22T00:00:00"/>
    <s v="AUTOMATIC PAYMENT - THANK"/>
    <x v="12"/>
    <s v="Payment"/>
    <n v="-3317.47"/>
    <x v="92"/>
    <n v="3317.47"/>
    <n v="2026"/>
    <n v="2"/>
    <s v="2026-02"/>
    <d v="2026-02-22T00:00:00"/>
    <s v="Sunday   "/>
    <x v="0"/>
    <x v="1"/>
    <n v="1774"/>
  </r>
  <r>
    <d v="2025-12-22T00:00:00"/>
    <s v="AUTOMATIC PAYMENT - THANK"/>
    <x v="12"/>
    <s v="Payment"/>
    <n v="-2044.99"/>
    <x v="92"/>
    <n v="2044.99"/>
    <n v="2025"/>
    <n v="12"/>
    <s v="2025-12"/>
    <d v="2025-12-22T00:00:00"/>
    <s v="Monday   "/>
    <x v="0"/>
    <x v="1"/>
    <n v="1780"/>
  </r>
  <r>
    <d v="2025-11-21T00:00:00"/>
    <s v="AUTOMATIC PAYMENT - THANK"/>
    <x v="12"/>
    <s v="Payment"/>
    <n v="-2679.76"/>
    <x v="92"/>
    <n v="2679.76"/>
    <n v="2025"/>
    <n v="11"/>
    <s v="2025-11"/>
    <d v="2025-11-21T00:00:00"/>
    <s v="Friday   "/>
    <x v="0"/>
    <x v="1"/>
    <n v="1782"/>
  </r>
  <r>
    <d v="2025-10-22T00:00:00"/>
    <s v="AUTOMATIC PAYMENT - THANK"/>
    <x v="12"/>
    <s v="Payment"/>
    <n v="-1835.18"/>
    <x v="92"/>
    <n v="1835.18"/>
    <n v="2025"/>
    <n v="10"/>
    <s v="2025-10"/>
    <d v="2025-10-22T00:00:00"/>
    <s v="Wednesday"/>
    <x v="0"/>
    <x v="1"/>
    <n v="1783"/>
  </r>
  <r>
    <d v="2025-09-22T00:00:00"/>
    <s v="AUTOMATIC PAYMENT - THANK"/>
    <x v="12"/>
    <s v="Payment"/>
    <n v="-2653.35"/>
    <x v="92"/>
    <n v="2653.35"/>
    <n v="2025"/>
    <n v="9"/>
    <s v="2025-09"/>
    <d v="2025-09-22T00:00:00"/>
    <s v="Monday   "/>
    <x v="0"/>
    <x v="1"/>
    <n v="1784"/>
  </r>
  <r>
    <d v="2026-02-13T00:00:00"/>
    <s v="Payment Thank You - Web"/>
    <x v="12"/>
    <s v="Payment"/>
    <n v="-2000"/>
    <x v="92"/>
    <n v="2000"/>
    <n v="2026"/>
    <n v="2"/>
    <s v="2026-02"/>
    <d v="2026-02-13T00:00:00"/>
    <s v="Friday   "/>
    <x v="0"/>
    <x v="1"/>
    <n v="1776"/>
  </r>
  <r>
    <d v="2026-01-26T00:00:00"/>
    <s v="Payment Thank You - Web"/>
    <x v="12"/>
    <s v="Payment"/>
    <n v="-2000"/>
    <x v="92"/>
    <n v="2000"/>
    <n v="2026"/>
    <n v="1"/>
    <s v="2026-01"/>
    <d v="2026-01-26T00:00:00"/>
    <s v="Monday   "/>
    <x v="0"/>
    <x v="1"/>
    <n v="1777"/>
  </r>
  <r>
    <d v="2025-06-22T00:00:00"/>
    <s v="AUTOMATIC PAYMENT - THANK"/>
    <x v="12"/>
    <s v="Payment"/>
    <n v="-2812.91"/>
    <x v="92"/>
    <n v="2812.91"/>
    <n v="2025"/>
    <n v="6"/>
    <s v="2025-06"/>
    <d v="2025-06-22T00:00:00"/>
    <s v="Sunday   "/>
    <x v="0"/>
    <x v="1"/>
    <n v="1788"/>
  </r>
  <r>
    <d v="2026-03-20T00:00:00"/>
    <s v="CULVERS WOODSTOCK"/>
    <x v="3"/>
    <s v="Sale"/>
    <n v="12.63"/>
    <x v="20"/>
    <n v="12.63"/>
    <n v="2026"/>
    <n v="3"/>
    <s v="2026-03"/>
    <d v="2026-03-20T00:00:00"/>
    <s v="Friday   "/>
    <x v="1"/>
    <x v="0"/>
    <n v="114"/>
  </r>
  <r>
    <d v="2025-05-31T00:00:00"/>
    <s v="MCDONALD'S F34643"/>
    <x v="3"/>
    <s v="Sale"/>
    <n v="11.44"/>
    <x v="23"/>
    <n v="11.44"/>
    <n v="2025"/>
    <n v="5"/>
    <s v="2025-05"/>
    <d v="2025-05-31T00:00:00"/>
    <s v="Saturday "/>
    <x v="1"/>
    <x v="0"/>
    <n v="221"/>
  </r>
  <r>
    <d v="2025-05-26T00:00:00"/>
    <s v="MCDONALD'S F34643"/>
    <x v="3"/>
    <s v="Sale"/>
    <n v="6.24"/>
    <x v="23"/>
    <n v="6.24"/>
    <n v="2025"/>
    <n v="5"/>
    <s v="2025-05"/>
    <d v="2025-05-26T00:00:00"/>
    <s v="Monday   "/>
    <x v="1"/>
    <x v="0"/>
    <n v="222"/>
  </r>
  <r>
    <d v="2025-12-14T00:00:00"/>
    <s v="DOMINO'S 2946"/>
    <x v="3"/>
    <s v="Sale"/>
    <n v="25.64"/>
    <x v="35"/>
    <n v="25.64"/>
    <n v="2025"/>
    <n v="12"/>
    <s v="2025-12"/>
    <d v="2025-12-14T00:00:00"/>
    <s v="Sunday   "/>
    <x v="1"/>
    <x v="0"/>
    <n v="223"/>
  </r>
  <r>
    <d v="2025-05-24T00:00:00"/>
    <s v="DOMINO'S 2786"/>
    <x v="3"/>
    <s v="Sale"/>
    <n v="26.79"/>
    <x v="35"/>
    <n v="26.79"/>
    <n v="2025"/>
    <n v="5"/>
    <s v="2025-05"/>
    <d v="2025-05-24T00:00:00"/>
    <s v="Saturday "/>
    <x v="1"/>
    <x v="0"/>
    <n v="224"/>
  </r>
  <r>
    <d v="2026-01-05T00:00:00"/>
    <s v="CULVERS WOODSTOCK"/>
    <x v="3"/>
    <s v="Sale"/>
    <n v="10.71"/>
    <x v="20"/>
    <n v="10.71"/>
    <n v="2026"/>
    <n v="1"/>
    <s v="2026-01"/>
    <d v="2026-01-05T00:00:00"/>
    <s v="Monday   "/>
    <x v="1"/>
    <x v="0"/>
    <n v="226"/>
  </r>
  <r>
    <d v="2025-12-27T00:00:00"/>
    <s v="DIRECTPAY FULL BALANCE_x000a_SEE DETAILS OF YOUR NEXT DIRECTPAY BELOW"/>
    <x v="12"/>
    <s v="Payment"/>
    <n v="-351.05"/>
    <x v="92"/>
    <n v="351.05"/>
    <n v="2025"/>
    <n v="12"/>
    <s v="2025-12"/>
    <d v="2025-12-27T00:00:00"/>
    <s v="Saturday "/>
    <x v="0"/>
    <x v="1"/>
    <n v="1395"/>
  </r>
  <r>
    <d v="2025-07-27T00:00:00"/>
    <s v="DIRECTPAY FULL BALANCE_x000a_SEE DETAILS OF YOUR NEXT DIRECTPAY BELOW"/>
    <x v="12"/>
    <s v="Payment"/>
    <n v="-111.87"/>
    <x v="92"/>
    <n v="111.87"/>
    <n v="2025"/>
    <n v="7"/>
    <s v="2025-07"/>
    <d v="2025-07-27T00:00:00"/>
    <s v="Sunday   "/>
    <x v="0"/>
    <x v="1"/>
    <n v="1427"/>
  </r>
  <r>
    <d v="2025-06-27T00:00:00"/>
    <s v="DIRECTPAY FULL BALANCE_x000a_7ISX6ZENL7R_x000a_CRXMZ7HW4DN_x000a_67UA1JEPIB1"/>
    <x v="12"/>
    <s v="Payment"/>
    <n v="-290.86"/>
    <x v="92"/>
    <n v="290.86"/>
    <n v="2025"/>
    <n v="6"/>
    <s v="2025-06"/>
    <d v="2025-06-27T00:00:00"/>
    <s v="Friday   "/>
    <x v="0"/>
    <x v="1"/>
    <n v="1428"/>
  </r>
  <r>
    <d v="2025-12-15T00:00:00"/>
    <s v="CULVERS WOODSTOCK"/>
    <x v="3"/>
    <s v="Sale"/>
    <n v="12.17"/>
    <x v="20"/>
    <n v="12.17"/>
    <n v="2025"/>
    <n v="12"/>
    <s v="2025-12"/>
    <d v="2025-12-15T00:00:00"/>
    <s v="Monday   "/>
    <x v="1"/>
    <x v="0"/>
    <n v="227"/>
  </r>
  <r>
    <d v="2025-11-26T00:00:00"/>
    <s v="CULVERS WOODSTOCK"/>
    <x v="3"/>
    <s v="Sale"/>
    <n v="12.17"/>
    <x v="20"/>
    <n v="12.17"/>
    <n v="2025"/>
    <n v="11"/>
    <s v="2025-11"/>
    <d v="2025-11-26T00:00:00"/>
    <s v="Wednesday"/>
    <x v="1"/>
    <x v="0"/>
    <n v="228"/>
  </r>
  <r>
    <d v="2025-11-05T00:00:00"/>
    <s v="CULVERS WOODSTOCK"/>
    <x v="3"/>
    <s v="Sale"/>
    <n v="11.46"/>
    <x v="20"/>
    <n v="11.46"/>
    <n v="2025"/>
    <n v="11"/>
    <s v="2025-11"/>
    <d v="2025-11-05T00:00:00"/>
    <s v="Wednesday"/>
    <x v="1"/>
    <x v="0"/>
    <n v="229"/>
  </r>
  <r>
    <d v="2025-10-25T00:00:00"/>
    <s v="CULVERS WOODSTOCK"/>
    <x v="3"/>
    <s v="Sale"/>
    <n v="23.32"/>
    <x v="20"/>
    <n v="23.32"/>
    <n v="2025"/>
    <n v="10"/>
    <s v="2025-10"/>
    <d v="2025-10-25T00:00:00"/>
    <s v="Saturday "/>
    <x v="1"/>
    <x v="0"/>
    <n v="230"/>
  </r>
  <r>
    <d v="2025-12-12T00:00:00"/>
    <s v="TACO BELL 036195"/>
    <x v="3"/>
    <s v="Sale"/>
    <n v="14.52"/>
    <x v="116"/>
    <n v="14.52"/>
    <n v="2025"/>
    <n v="12"/>
    <s v="2025-12"/>
    <d v="2025-12-12T00:00:00"/>
    <s v="Friday   "/>
    <x v="1"/>
    <x v="0"/>
    <n v="231"/>
  </r>
  <r>
    <d v="2025-10-23T00:00:00"/>
    <s v="CULVERS WOODSTOCK"/>
    <x v="3"/>
    <s v="Sale"/>
    <n v="17.62"/>
    <x v="20"/>
    <n v="17.62"/>
    <n v="2025"/>
    <n v="10"/>
    <s v="2025-10"/>
    <d v="2025-10-23T00:00:00"/>
    <s v="Thursday "/>
    <x v="1"/>
    <x v="0"/>
    <n v="232"/>
  </r>
  <r>
    <d v="2025-10-22T00:00:00"/>
    <s v="CULVERS LAKE IN THE HILL"/>
    <x v="3"/>
    <s v="Sale"/>
    <n v="14.82"/>
    <x v="20"/>
    <n v="14.82"/>
    <n v="2025"/>
    <n v="10"/>
    <s v="2025-10"/>
    <d v="2025-10-22T00:00:00"/>
    <s v="Wednesday"/>
    <x v="1"/>
    <x v="0"/>
    <n v="233"/>
  </r>
  <r>
    <d v="2025-10-13T00:00:00"/>
    <s v="CULVERS WOODSTOCK"/>
    <x v="3"/>
    <s v="Sale"/>
    <n v="16.27"/>
    <x v="20"/>
    <n v="16.27"/>
    <n v="2025"/>
    <n v="10"/>
    <s v="2025-10"/>
    <d v="2025-10-13T00:00:00"/>
    <s v="Monday   "/>
    <x v="1"/>
    <x v="0"/>
    <n v="234"/>
  </r>
  <r>
    <d v="2025-09-13T00:00:00"/>
    <s v="CULVERS WOODSTOCK"/>
    <x v="3"/>
    <s v="Sale"/>
    <n v="11.9"/>
    <x v="20"/>
    <n v="11.9"/>
    <n v="2025"/>
    <n v="9"/>
    <s v="2025-09"/>
    <d v="2025-09-13T00:00:00"/>
    <s v="Saturday "/>
    <x v="1"/>
    <x v="0"/>
    <n v="235"/>
  </r>
  <r>
    <d v="2025-10-15T00:00:00"/>
    <s v="LOGANS ROADHOUSE 3456"/>
    <x v="3"/>
    <s v="Sale"/>
    <n v="26.15"/>
    <x v="143"/>
    <n v="26.15"/>
    <n v="2025"/>
    <n v="10"/>
    <s v="2025-10"/>
    <d v="2025-10-15T00:00:00"/>
    <s v="Wednesday"/>
    <x v="1"/>
    <x v="0"/>
    <n v="237"/>
  </r>
  <r>
    <d v="2025-05-13T00:00:00"/>
    <s v="CULVERS OF CRYSTAL LAKE"/>
    <x v="3"/>
    <s v="Sale"/>
    <n v="15.66"/>
    <x v="20"/>
    <n v="15.66"/>
    <n v="2025"/>
    <n v="5"/>
    <s v="2025-05"/>
    <d v="2025-05-13T00:00:00"/>
    <s v="Tuesday  "/>
    <x v="1"/>
    <x v="0"/>
    <n v="238"/>
  </r>
  <r>
    <d v="2025-05-23T00:00:00"/>
    <s v="TACO BELL #30401"/>
    <x v="3"/>
    <s v="Sale"/>
    <n v="18.37"/>
    <x v="116"/>
    <n v="18.37"/>
    <n v="2025"/>
    <n v="5"/>
    <s v="2025-05"/>
    <d v="2025-05-23T00:00:00"/>
    <s v="Friday   "/>
    <x v="1"/>
    <x v="0"/>
    <n v="241"/>
  </r>
  <r>
    <d v="2025-05-22T00:00:00"/>
    <s v="TOMMYS RED HOTS"/>
    <x v="3"/>
    <s v="Sale"/>
    <n v="11.24"/>
    <x v="144"/>
    <n v="11.24"/>
    <n v="2025"/>
    <n v="5"/>
    <s v="2025-05"/>
    <d v="2025-05-22T00:00:00"/>
    <s v="Thursday "/>
    <x v="1"/>
    <x v="0"/>
    <n v="242"/>
  </r>
  <r>
    <d v="2025-09-24T00:00:00"/>
    <s v="JIMMY JOHNS - 0585 - ECO WOODSTOCK IL_x000a_SEE DETAILS OF YOUR NEXT DIRECTPAY BELOW_x000a_64UJW9YYB11_x000a_1XFP7G15R36_x000a_I7ZHAG6EFHM_x000a_5O9ERU4SO6J_x000a_6P53N0VZSDH"/>
    <x v="3"/>
    <s v="Sale"/>
    <n v="23.06"/>
    <x v="36"/>
    <n v="23.06"/>
    <n v="2025"/>
    <n v="9"/>
    <s v="2025-09"/>
    <d v="2025-09-24T00:00:00"/>
    <s v="Wednesday"/>
    <x v="1"/>
    <x v="0"/>
    <n v="243"/>
  </r>
  <r>
    <d v="2025-06-26T00:00:00"/>
    <s v="JIMMY JOHNS - 0585 - ECO WOODSTOCK IL"/>
    <x v="3"/>
    <s v="Sale"/>
    <n v="16.7"/>
    <x v="36"/>
    <n v="16.7"/>
    <n v="2025"/>
    <n v="6"/>
    <s v="2025-06"/>
    <d v="2025-06-26T00:00:00"/>
    <s v="Thursday "/>
    <x v="1"/>
    <x v="0"/>
    <n v="244"/>
  </r>
  <r>
    <d v="2025-11-04T00:00:00"/>
    <s v="CHIPOTLE 3609"/>
    <x v="3"/>
    <s v="Sale"/>
    <n v="18.73"/>
    <x v="24"/>
    <n v="18.73"/>
    <n v="2025"/>
    <n v="11"/>
    <s v="2025-11"/>
    <d v="2025-11-04T00:00:00"/>
    <s v="Tuesday  "/>
    <x v="1"/>
    <x v="0"/>
    <n v="251"/>
  </r>
  <r>
    <d v="2025-12-03T00:00:00"/>
    <s v="DD/BR #340391 Q35"/>
    <x v="3"/>
    <s v="Sale"/>
    <n v="9.7100000000000009"/>
    <x v="4"/>
    <n v="9.7100000000000009"/>
    <n v="2025"/>
    <n v="12"/>
    <s v="2025-12"/>
    <d v="2025-12-03T00:00:00"/>
    <s v="Wednesday"/>
    <x v="1"/>
    <x v="0"/>
    <n v="252"/>
  </r>
  <r>
    <d v="2025-11-26T00:00:00"/>
    <s v="DD/BR #340391 Q35"/>
    <x v="3"/>
    <s v="Sale"/>
    <n v="6.44"/>
    <x v="4"/>
    <n v="6.44"/>
    <n v="2025"/>
    <n v="11"/>
    <s v="2025-11"/>
    <d v="2025-11-26T00:00:00"/>
    <s v="Wednesday"/>
    <x v="1"/>
    <x v="0"/>
    <n v="253"/>
  </r>
  <r>
    <d v="2025-08-18T00:00:00"/>
    <s v="DD/BR #340391 Q35"/>
    <x v="3"/>
    <s v="Sale"/>
    <n v="9.49"/>
    <x v="4"/>
    <n v="9.49"/>
    <n v="2025"/>
    <n v="8"/>
    <s v="2025-08"/>
    <d v="2025-08-18T00:00:00"/>
    <s v="Monday   "/>
    <x v="1"/>
    <x v="0"/>
    <n v="256"/>
  </r>
  <r>
    <d v="2025-08-07T00:00:00"/>
    <s v="DD/BR #340391 Q35"/>
    <x v="3"/>
    <s v="Sale"/>
    <n v="3.88"/>
    <x v="4"/>
    <n v="3.88"/>
    <n v="2025"/>
    <n v="8"/>
    <s v="2025-08"/>
    <d v="2025-08-07T00:00:00"/>
    <s v="Thursday "/>
    <x v="1"/>
    <x v="0"/>
    <n v="257"/>
  </r>
  <r>
    <d v="2025-05-28T00:00:00"/>
    <s v="JIMMY JOHNS - 0585 - ECOM"/>
    <x v="3"/>
    <s v="Sale"/>
    <n v="22.62"/>
    <x v="36"/>
    <n v="22.62"/>
    <n v="2025"/>
    <n v="5"/>
    <s v="2025-05"/>
    <d v="2025-05-28T00:00:00"/>
    <s v="Wednesday"/>
    <x v="1"/>
    <x v="0"/>
    <n v="259"/>
  </r>
  <r>
    <d v="2025-05-29T00:00:00"/>
    <s v="PANERA BREAD #204024 P"/>
    <x v="3"/>
    <s v="Sale"/>
    <n v="14.39"/>
    <x v="64"/>
    <n v="14.39"/>
    <n v="2025"/>
    <n v="5"/>
    <s v="2025-05"/>
    <d v="2025-05-29T00:00:00"/>
    <s v="Thursday "/>
    <x v="1"/>
    <x v="0"/>
    <n v="260"/>
  </r>
  <r>
    <d v="2025-07-07T00:00:00"/>
    <s v="CHIPOTLE 3609"/>
    <x v="3"/>
    <s v="Sale"/>
    <n v="22.03"/>
    <x v="24"/>
    <n v="22.03"/>
    <n v="2025"/>
    <n v="7"/>
    <s v="2025-07"/>
    <d v="2025-07-07T00:00:00"/>
    <s v="Monday   "/>
    <x v="1"/>
    <x v="0"/>
    <n v="261"/>
  </r>
  <r>
    <d v="2025-07-10T00:00:00"/>
    <s v="DD/BR #340391 Q35"/>
    <x v="3"/>
    <s v="Sale"/>
    <n v="18.37"/>
    <x v="4"/>
    <n v="18.37"/>
    <n v="2025"/>
    <n v="7"/>
    <s v="2025-07"/>
    <d v="2025-07-10T00:00:00"/>
    <s v="Thursday "/>
    <x v="1"/>
    <x v="0"/>
    <n v="262"/>
  </r>
  <r>
    <d v="2025-06-10T00:00:00"/>
    <s v="DD/BR #340391 Q35"/>
    <x v="3"/>
    <s v="Sale"/>
    <n v="6.88"/>
    <x v="4"/>
    <n v="6.88"/>
    <n v="2025"/>
    <n v="6"/>
    <s v="2025-06"/>
    <d v="2025-06-10T00:00:00"/>
    <s v="Tuesday  "/>
    <x v="1"/>
    <x v="0"/>
    <n v="263"/>
  </r>
  <r>
    <d v="2025-11-25T00:00:00"/>
    <s v="Audible*B22P40VO1"/>
    <x v="8"/>
    <s v="Sale"/>
    <n v="14.95"/>
    <x v="79"/>
    <n v="14.95"/>
    <n v="2025"/>
    <n v="11"/>
    <s v="2025-11"/>
    <d v="2025-11-25T00:00:00"/>
    <s v="Tuesday  "/>
    <x v="1"/>
    <x v="0"/>
    <n v="266"/>
  </r>
  <r>
    <d v="2025-10-25T00:00:00"/>
    <s v="Audible*N439W5EI0"/>
    <x v="8"/>
    <s v="Sale"/>
    <n v="14.95"/>
    <x v="79"/>
    <n v="14.95"/>
    <n v="2025"/>
    <n v="10"/>
    <s v="2025-10"/>
    <d v="2025-10-25T00:00:00"/>
    <s v="Saturday "/>
    <x v="1"/>
    <x v="0"/>
    <n v="267"/>
  </r>
  <r>
    <d v="2025-09-25T00:00:00"/>
    <s v="Audible*WN6367Y73"/>
    <x v="8"/>
    <s v="Sale"/>
    <n v="14.95"/>
    <x v="79"/>
    <n v="14.95"/>
    <n v="2025"/>
    <n v="9"/>
    <s v="2025-09"/>
    <d v="2025-09-25T00:00:00"/>
    <s v="Thursday "/>
    <x v="1"/>
    <x v="0"/>
    <n v="268"/>
  </r>
  <r>
    <d v="2025-11-24T00:00:00"/>
    <s v="DD/BR #340391 Q35"/>
    <x v="3"/>
    <s v="Sale"/>
    <n v="4.51"/>
    <x v="4"/>
    <n v="4.51"/>
    <n v="2025"/>
    <n v="11"/>
    <s v="2025-11"/>
    <d v="2025-11-24T00:00:00"/>
    <s v="Monday   "/>
    <x v="1"/>
    <x v="0"/>
    <n v="270"/>
  </r>
  <r>
    <d v="2025-11-20T00:00:00"/>
    <s v="DD/BR #340391 Q35"/>
    <x v="3"/>
    <s v="Sale"/>
    <n v="7.98"/>
    <x v="4"/>
    <n v="7.98"/>
    <n v="2025"/>
    <n v="11"/>
    <s v="2025-11"/>
    <d v="2025-11-20T00:00:00"/>
    <s v="Thursday "/>
    <x v="1"/>
    <x v="0"/>
    <n v="271"/>
  </r>
  <r>
    <d v="2025-11-07T00:00:00"/>
    <s v="DD/BR #340391 Q35"/>
    <x v="3"/>
    <s v="Sale"/>
    <n v="7.49"/>
    <x v="4"/>
    <n v="7.49"/>
    <n v="2025"/>
    <n v="11"/>
    <s v="2025-11"/>
    <d v="2025-11-07T00:00:00"/>
    <s v="Friday   "/>
    <x v="1"/>
    <x v="0"/>
    <n v="272"/>
  </r>
  <r>
    <d v="2025-11-04T00:00:00"/>
    <s v="DD/BR #340391 Q35"/>
    <x v="3"/>
    <s v="Sale"/>
    <n v="10.88"/>
    <x v="4"/>
    <n v="10.88"/>
    <n v="2025"/>
    <n v="11"/>
    <s v="2025-11"/>
    <d v="2025-11-04T00:00:00"/>
    <s v="Tuesday  "/>
    <x v="1"/>
    <x v="0"/>
    <n v="273"/>
  </r>
  <r>
    <d v="2025-10-31T00:00:00"/>
    <s v="DD/BR #340391 Q35"/>
    <x v="3"/>
    <s v="Sale"/>
    <n v="21.56"/>
    <x v="4"/>
    <n v="21.56"/>
    <n v="2025"/>
    <n v="10"/>
    <s v="2025-10"/>
    <d v="2025-10-31T00:00:00"/>
    <s v="Friday   "/>
    <x v="1"/>
    <x v="0"/>
    <n v="274"/>
  </r>
  <r>
    <d v="2025-10-28T00:00:00"/>
    <s v="DD/BR #340391 Q35"/>
    <x v="3"/>
    <s v="Sale"/>
    <n v="9.0399999999999991"/>
    <x v="4"/>
    <n v="9.0399999999999991"/>
    <n v="2025"/>
    <n v="10"/>
    <s v="2025-10"/>
    <d v="2025-10-28T00:00:00"/>
    <s v="Tuesday  "/>
    <x v="1"/>
    <x v="0"/>
    <n v="275"/>
  </r>
  <r>
    <d v="2025-07-31T00:00:00"/>
    <s v="DD/BR #340391 Q35"/>
    <x v="3"/>
    <s v="Sale"/>
    <n v="7.55"/>
    <x v="4"/>
    <n v="7.55"/>
    <n v="2025"/>
    <n v="7"/>
    <s v="2025-07"/>
    <d v="2025-07-31T00:00:00"/>
    <s v="Thursday "/>
    <x v="1"/>
    <x v="0"/>
    <n v="276"/>
  </r>
  <r>
    <d v="2025-07-17T00:00:00"/>
    <s v="DD/BR #340391 Q35"/>
    <x v="3"/>
    <s v="Sale"/>
    <n v="9.49"/>
    <x v="4"/>
    <n v="9.49"/>
    <n v="2025"/>
    <n v="7"/>
    <s v="2025-07"/>
    <d v="2025-07-17T00:00:00"/>
    <s v="Thursday "/>
    <x v="1"/>
    <x v="0"/>
    <n v="277"/>
  </r>
  <r>
    <d v="2025-05-08T00:00:00"/>
    <s v="DD/BR #340391 Q35"/>
    <x v="3"/>
    <s v="Sale"/>
    <n v="7.11"/>
    <x v="4"/>
    <n v="7.11"/>
    <n v="2025"/>
    <n v="5"/>
    <s v="2025-05"/>
    <d v="2025-05-08T00:00:00"/>
    <s v="Thursday "/>
    <x v="1"/>
    <x v="0"/>
    <n v="278"/>
  </r>
  <r>
    <d v="2025-05-05T00:00:00"/>
    <s v="DD/BR #340391 Q35"/>
    <x v="3"/>
    <s v="Sale"/>
    <n v="3.44"/>
    <x v="4"/>
    <n v="3.44"/>
    <n v="2025"/>
    <n v="5"/>
    <s v="2025-05"/>
    <d v="2025-05-05T00:00:00"/>
    <s v="Monday   "/>
    <x v="1"/>
    <x v="0"/>
    <n v="279"/>
  </r>
  <r>
    <d v="2026-03-18T00:00:00"/>
    <s v="DD/BR #340391 Q35 WOODSTOCK IL"/>
    <x v="3"/>
    <s v="Sale"/>
    <n v="3.99"/>
    <x v="4"/>
    <n v="3.99"/>
    <n v="2026"/>
    <n v="3"/>
    <s v="2026-03"/>
    <d v="2026-03-18T00:00:00"/>
    <s v="Wednesday"/>
    <x v="1"/>
    <x v="0"/>
    <n v="284"/>
  </r>
  <r>
    <d v="2025-08-30T00:00:00"/>
    <s v="CULVERS OF N AURORA"/>
    <x v="3"/>
    <s v="Sale"/>
    <n v="16.829999999999998"/>
    <x v="20"/>
    <n v="16.829999999999998"/>
    <n v="2025"/>
    <n v="8"/>
    <s v="2025-08"/>
    <d v="2025-08-30T00:00:00"/>
    <s v="Saturday "/>
    <x v="1"/>
    <x v="0"/>
    <n v="288"/>
  </r>
  <r>
    <d v="2025-08-16T00:00:00"/>
    <s v="CULVERS OF HUNTLEY"/>
    <x v="3"/>
    <s v="Sale"/>
    <n v="11.49"/>
    <x v="20"/>
    <n v="11.49"/>
    <n v="2025"/>
    <n v="8"/>
    <s v="2025-08"/>
    <d v="2025-08-16T00:00:00"/>
    <s v="Saturday "/>
    <x v="1"/>
    <x v="0"/>
    <n v="289"/>
  </r>
  <r>
    <d v="2025-08-27T00:00:00"/>
    <s v="TACO BELL 036195"/>
    <x v="3"/>
    <s v="Sale"/>
    <n v="14.19"/>
    <x v="116"/>
    <n v="14.19"/>
    <n v="2025"/>
    <n v="8"/>
    <s v="2025-08"/>
    <d v="2025-08-27T00:00:00"/>
    <s v="Wednesday"/>
    <x v="1"/>
    <x v="0"/>
    <n v="291"/>
  </r>
  <r>
    <d v="2025-06-06T00:00:00"/>
    <s v="DD/BR #340391 Q35"/>
    <x v="3"/>
    <s v="Sale"/>
    <n v="7.55"/>
    <x v="4"/>
    <n v="7.55"/>
    <n v="2025"/>
    <n v="6"/>
    <s v="2025-06"/>
    <d v="2025-06-06T00:00:00"/>
    <s v="Friday   "/>
    <x v="1"/>
    <x v="0"/>
    <n v="292"/>
  </r>
  <r>
    <d v="2025-05-27T00:00:00"/>
    <s v="DD/BR #340391 Q35"/>
    <x v="3"/>
    <s v="Sale"/>
    <n v="7.11"/>
    <x v="4"/>
    <n v="7.11"/>
    <n v="2025"/>
    <n v="5"/>
    <s v="2025-05"/>
    <d v="2025-05-27T00:00:00"/>
    <s v="Tuesday  "/>
    <x v="1"/>
    <x v="0"/>
    <n v="293"/>
  </r>
  <r>
    <d v="2025-10-16T00:00:00"/>
    <s v="WENDYS #  13352"/>
    <x v="3"/>
    <s v="Sale"/>
    <n v="4.33"/>
    <x v="30"/>
    <n v="4.33"/>
    <n v="2025"/>
    <n v="10"/>
    <s v="2025-10"/>
    <d v="2025-10-16T00:00:00"/>
    <s v="Thursday "/>
    <x v="1"/>
    <x v="0"/>
    <n v="236"/>
  </r>
  <r>
    <d v="2025-07-13T00:00:00"/>
    <s v="SQ *EL TACO FELIZ"/>
    <x v="3"/>
    <s v="Sale"/>
    <n v="7"/>
    <x v="145"/>
    <n v="7"/>
    <n v="2025"/>
    <n v="7"/>
    <s v="2025-07"/>
    <d v="2025-07-13T00:00:00"/>
    <s v="Sunday   "/>
    <x v="1"/>
    <x v="0"/>
    <n v="254"/>
  </r>
  <r>
    <d v="2025-08-28T00:00:00"/>
    <s v="WENDYS #0751"/>
    <x v="3"/>
    <s v="Sale"/>
    <n v="6.99"/>
    <x v="30"/>
    <n v="6.99"/>
    <n v="2025"/>
    <n v="8"/>
    <s v="2025-08"/>
    <d v="2025-08-28T00:00:00"/>
    <s v="Thursday "/>
    <x v="1"/>
    <x v="0"/>
    <n v="290"/>
  </r>
  <r>
    <d v="2025-10-15T00:00:00"/>
    <s v="CRYSTAL LAKE PARK DISTRI"/>
    <x v="2"/>
    <s v="Sale"/>
    <n v="289.60000000000002"/>
    <x v="3"/>
    <n v="289.60000000000002"/>
    <n v="2025"/>
    <n v="10"/>
    <s v="2025-10"/>
    <d v="2025-10-15T00:00:00"/>
    <s v="Wednesday"/>
    <x v="1"/>
    <x v="1"/>
    <n v="446"/>
  </r>
  <r>
    <d v="2025-10-15T00:00:00"/>
    <s v="CRYSTAL LAKE PARK DISTRI"/>
    <x v="2"/>
    <s v="Sale"/>
    <n v="362"/>
    <x v="3"/>
    <n v="362"/>
    <n v="2025"/>
    <n v="10"/>
    <s v="2025-10"/>
    <d v="2025-10-15T00:00:00"/>
    <s v="Wednesday"/>
    <x v="1"/>
    <x v="1"/>
    <n v="447"/>
  </r>
  <r>
    <d v="2026-01-15T00:00:00"/>
    <s v="CRYSTAL LAKE PARK DISTRI"/>
    <x v="2"/>
    <s v="Sale"/>
    <n v="362"/>
    <x v="3"/>
    <n v="362"/>
    <n v="2026"/>
    <n v="1"/>
    <s v="2026-01"/>
    <d v="2026-01-15T00:00:00"/>
    <s v="Thursday "/>
    <x v="1"/>
    <x v="1"/>
    <n v="475"/>
  </r>
  <r>
    <d v="2025-12-15T00:00:00"/>
    <s v="CRYSTAL LAKE PARK DISTRI"/>
    <x v="2"/>
    <s v="Sale"/>
    <n v="289.60000000000002"/>
    <x v="3"/>
    <n v="289.60000000000002"/>
    <n v="2025"/>
    <n v="12"/>
    <s v="2025-12"/>
    <d v="2025-12-15T00:00:00"/>
    <s v="Monday   "/>
    <x v="1"/>
    <x v="1"/>
    <n v="476"/>
  </r>
  <r>
    <d v="2026-03-07T00:00:00"/>
    <s v="CRYSTAL LAKE PARK DISTRI"/>
    <x v="2"/>
    <s v="Sale"/>
    <n v="6048"/>
    <x v="3"/>
    <n v="6048"/>
    <n v="2026"/>
    <n v="3"/>
    <s v="2026-03"/>
    <d v="2026-03-07T00:00:00"/>
    <s v="Saturday "/>
    <x v="1"/>
    <x v="1"/>
    <n v="1003"/>
  </r>
  <r>
    <d v="2025-08-27T00:00:00"/>
    <s v="MCDONALD'S F34643"/>
    <x v="3"/>
    <s v="Sale"/>
    <n v="11.44"/>
    <x v="23"/>
    <n v="11.44"/>
    <n v="2025"/>
    <n v="8"/>
    <s v="2025-08"/>
    <d v="2025-08-27T00:00:00"/>
    <s v="Wednesday"/>
    <x v="1"/>
    <x v="0"/>
    <n v="321"/>
  </r>
  <r>
    <d v="2025-07-11T00:00:00"/>
    <s v="MCDONALD'S F3488"/>
    <x v="3"/>
    <s v="Sale"/>
    <n v="8.31"/>
    <x v="23"/>
    <n v="8.31"/>
    <n v="2025"/>
    <n v="7"/>
    <s v="2025-07"/>
    <d v="2025-07-11T00:00:00"/>
    <s v="Friday   "/>
    <x v="1"/>
    <x v="0"/>
    <n v="329"/>
  </r>
  <r>
    <d v="2025-07-12T00:00:00"/>
    <s v="DD/BR #340391 Q35"/>
    <x v="3"/>
    <s v="Sale"/>
    <n v="9.16"/>
    <x v="4"/>
    <n v="9.16"/>
    <n v="2025"/>
    <n v="7"/>
    <s v="2025-07"/>
    <d v="2025-07-12T00:00:00"/>
    <s v="Saturday "/>
    <x v="1"/>
    <x v="0"/>
    <n v="342"/>
  </r>
  <r>
    <d v="2025-07-12T00:00:00"/>
    <s v="CULVERS WOODSTOCK"/>
    <x v="3"/>
    <s v="Sale"/>
    <n v="12.38"/>
    <x v="20"/>
    <n v="12.38"/>
    <n v="2025"/>
    <n v="7"/>
    <s v="2025-07"/>
    <d v="2025-07-12T00:00:00"/>
    <s v="Saturday "/>
    <x v="1"/>
    <x v="0"/>
    <n v="343"/>
  </r>
  <r>
    <d v="2025-06-10T00:00:00"/>
    <s v="CULVERS WOODSTOCK"/>
    <x v="3"/>
    <s v="Sale"/>
    <n v="21.2"/>
    <x v="20"/>
    <n v="21.2"/>
    <n v="2025"/>
    <n v="6"/>
    <s v="2025-06"/>
    <d v="2025-06-10T00:00:00"/>
    <s v="Tuesday  "/>
    <x v="1"/>
    <x v="0"/>
    <n v="344"/>
  </r>
  <r>
    <d v="2025-06-06T00:00:00"/>
    <s v="CULVERS WOODSTOCK"/>
    <x v="3"/>
    <s v="Sale"/>
    <n v="11.95"/>
    <x v="20"/>
    <n v="11.95"/>
    <n v="2025"/>
    <n v="6"/>
    <s v="2025-06"/>
    <d v="2025-06-06T00:00:00"/>
    <s v="Friday   "/>
    <x v="1"/>
    <x v="0"/>
    <n v="345"/>
  </r>
  <r>
    <d v="2025-07-11T00:00:00"/>
    <s v="TACO BELL #30401"/>
    <x v="3"/>
    <s v="Sale"/>
    <n v="20.079999999999998"/>
    <x v="116"/>
    <n v="20.079999999999998"/>
    <n v="2025"/>
    <n v="7"/>
    <s v="2025-07"/>
    <d v="2025-07-11T00:00:00"/>
    <s v="Friday   "/>
    <x v="1"/>
    <x v="0"/>
    <n v="347"/>
  </r>
  <r>
    <d v="2025-08-29T00:00:00"/>
    <s v="MCDONALD'S F14021"/>
    <x v="3"/>
    <s v="Sale"/>
    <n v="10.73"/>
    <x v="23"/>
    <n v="10.73"/>
    <n v="2025"/>
    <n v="8"/>
    <s v="2025-08"/>
    <d v="2025-08-29T00:00:00"/>
    <s v="Friday   "/>
    <x v="1"/>
    <x v="0"/>
    <n v="320"/>
  </r>
  <r>
    <d v="2025-06-22T00:00:00"/>
    <s v="BUC-EE'S #62"/>
    <x v="3"/>
    <s v="Sale"/>
    <n v="65.53"/>
    <x v="146"/>
    <n v="65.53"/>
    <n v="2025"/>
    <n v="6"/>
    <s v="2025-06"/>
    <d v="2025-06-22T00:00:00"/>
    <s v="Sunday   "/>
    <x v="1"/>
    <x v="0"/>
    <n v="499"/>
  </r>
  <r>
    <d v="2025-08-09T00:00:00"/>
    <s v="BUC-EE'S #52"/>
    <x v="3"/>
    <s v="Sale"/>
    <n v="24.08"/>
    <x v="146"/>
    <n v="24.08"/>
    <n v="2025"/>
    <n v="8"/>
    <s v="2025-08"/>
    <d v="2025-08-09T00:00:00"/>
    <s v="Saturday "/>
    <x v="1"/>
    <x v="0"/>
    <n v="393"/>
  </r>
  <r>
    <d v="2025-07-11T00:00:00"/>
    <s v="TST*WINTRUST FIELD"/>
    <x v="3"/>
    <s v="Sale"/>
    <n v="36"/>
    <x v="27"/>
    <n v="36"/>
    <n v="2025"/>
    <n v="7"/>
    <s v="2025-07"/>
    <d v="2025-07-11T00:00:00"/>
    <s v="Friday   "/>
    <x v="1"/>
    <x v="0"/>
    <n v="348"/>
  </r>
  <r>
    <d v="2025-12-02T00:00:00"/>
    <s v="TST*ELGIN PUBLIC HOUSE"/>
    <x v="3"/>
    <s v="Sale"/>
    <n v="40.729999999999997"/>
    <x v="147"/>
    <n v="40.729999999999997"/>
    <n v="2025"/>
    <n v="12"/>
    <s v="2025-12"/>
    <d v="2025-12-02T00:00:00"/>
    <s v="Tuesday  "/>
    <x v="1"/>
    <x v="0"/>
    <n v="1086"/>
  </r>
  <r>
    <d v="2025-10-28T00:00:00"/>
    <s v="TST* LOU MALNATI'S - LAKE"/>
    <x v="3"/>
    <s v="Sale"/>
    <n v="47.6"/>
    <x v="148"/>
    <n v="47.6"/>
    <n v="2025"/>
    <n v="10"/>
    <s v="2025-10"/>
    <d v="2025-10-28T00:00:00"/>
    <s v="Tuesday  "/>
    <x v="1"/>
    <x v="0"/>
    <n v="1108"/>
  </r>
  <r>
    <d v="2026-03-25T00:00:00"/>
    <s v="CULVERS WOODSTOCK WOODSTOCK IL"/>
    <x v="3"/>
    <s v="Sale"/>
    <n v="18.41"/>
    <x v="20"/>
    <n v="18.41"/>
    <n v="2026"/>
    <n v="3"/>
    <s v="2026-03"/>
    <d v="2026-03-25T00:00:00"/>
    <s v="Wednesday"/>
    <x v="1"/>
    <x v="0"/>
    <n v="468"/>
  </r>
  <r>
    <d v="2026-03-24T00:00:00"/>
    <s v="CULVERS WOODSTOCK WOODSTOCK IL"/>
    <x v="3"/>
    <s v="Sale"/>
    <n v="11.86"/>
    <x v="20"/>
    <n v="11.86"/>
    <n v="2026"/>
    <n v="3"/>
    <s v="2026-03"/>
    <d v="2026-03-24T00:00:00"/>
    <s v="Tuesday  "/>
    <x v="1"/>
    <x v="0"/>
    <n v="469"/>
  </r>
  <r>
    <d v="2025-12-17T00:00:00"/>
    <s v="PORTILLOS HOT DOGS #23"/>
    <x v="3"/>
    <s v="Sale"/>
    <n v="17.41"/>
    <x v="149"/>
    <n v="17.41"/>
    <n v="2025"/>
    <n v="12"/>
    <s v="2025-12"/>
    <d v="2025-12-17T00:00:00"/>
    <s v="Wednesday"/>
    <x v="1"/>
    <x v="0"/>
    <n v="470"/>
  </r>
  <r>
    <d v="2025-12-17T00:00:00"/>
    <s v="PANERA BREAD #204024 O"/>
    <x v="3"/>
    <s v="Sale"/>
    <n v="15.7"/>
    <x v="64"/>
    <n v="15.7"/>
    <n v="2025"/>
    <n v="12"/>
    <s v="2025-12"/>
    <d v="2025-12-17T00:00:00"/>
    <s v="Wednesday"/>
    <x v="1"/>
    <x v="0"/>
    <n v="471"/>
  </r>
  <r>
    <d v="2025-07-31T00:00:00"/>
    <s v="TST* JAMBA JUICE - 0189 -"/>
    <x v="3"/>
    <s v="Sale"/>
    <n v="9.89"/>
    <x v="150"/>
    <n v="9.89"/>
    <n v="2025"/>
    <n v="7"/>
    <s v="2025-07"/>
    <d v="2025-07-31T00:00:00"/>
    <s v="Thursday "/>
    <x v="1"/>
    <x v="0"/>
    <n v="1225"/>
  </r>
  <r>
    <d v="2025-07-22T00:00:00"/>
    <s v="TST*JULIE ANNS FROZEN C"/>
    <x v="3"/>
    <s v="Sale"/>
    <n v="6.51"/>
    <x v="151"/>
    <n v="6.51"/>
    <n v="2025"/>
    <n v="7"/>
    <s v="2025-07"/>
    <d v="2025-07-22T00:00:00"/>
    <s v="Tuesday  "/>
    <x v="1"/>
    <x v="0"/>
    <n v="1230"/>
  </r>
  <r>
    <d v="2025-12-14T00:00:00"/>
    <s v="MCDONALD'S F12987"/>
    <x v="3"/>
    <s v="Sale"/>
    <n v="3.29"/>
    <x v="23"/>
    <n v="3.29"/>
    <n v="2025"/>
    <n v="12"/>
    <s v="2025-12"/>
    <d v="2025-12-14T00:00:00"/>
    <s v="Sunday   "/>
    <x v="1"/>
    <x v="0"/>
    <n v="480"/>
  </r>
  <r>
    <d v="2025-06-22T00:00:00"/>
    <s v="BUC-EE'S #62"/>
    <x v="3"/>
    <s v="Sale"/>
    <n v="16.11"/>
    <x v="146"/>
    <n v="16.11"/>
    <n v="2025"/>
    <n v="6"/>
    <s v="2025-06"/>
    <d v="2025-06-22T00:00:00"/>
    <s v="Sunday   "/>
    <x v="1"/>
    <x v="0"/>
    <n v="504"/>
  </r>
  <r>
    <d v="2025-06-18T00:00:00"/>
    <s v="BUC-EE'S #62"/>
    <x v="3"/>
    <s v="Sale"/>
    <n v="4.21"/>
    <x v="146"/>
    <n v="4.21"/>
    <n v="2025"/>
    <n v="6"/>
    <s v="2025-06"/>
    <d v="2025-06-18T00:00:00"/>
    <s v="Wednesday"/>
    <x v="1"/>
    <x v="0"/>
    <n v="506"/>
  </r>
  <r>
    <d v="2025-09-30T00:00:00"/>
    <s v="JIMMY JOHNS - 0585 - ECO WOODSTOCK IL"/>
    <x v="3"/>
    <s v="Sale"/>
    <n v="23.06"/>
    <x v="36"/>
    <n v="23.06"/>
    <n v="2025"/>
    <n v="9"/>
    <s v="2025-09"/>
    <d v="2025-09-30T00:00:00"/>
    <s v="Tuesday  "/>
    <x v="1"/>
    <x v="0"/>
    <n v="660"/>
  </r>
  <r>
    <d v="2025-09-16T00:00:00"/>
    <s v="Audible*D967T0JZ3"/>
    <x v="8"/>
    <s v="Sale"/>
    <n v="4.99"/>
    <x v="79"/>
    <n v="4.99"/>
    <n v="2025"/>
    <n v="9"/>
    <s v="2025-09"/>
    <d v="2025-09-16T00:00:00"/>
    <s v="Tuesday  "/>
    <x v="1"/>
    <x v="0"/>
    <n v="662"/>
  </r>
  <r>
    <d v="2025-09-15T00:00:00"/>
    <s v="Audible*1U46W0423"/>
    <x v="8"/>
    <s v="Sale"/>
    <n v="4.8600000000000003"/>
    <x v="79"/>
    <n v="4.8600000000000003"/>
    <n v="2025"/>
    <n v="9"/>
    <s v="2025-09"/>
    <d v="2025-09-15T00:00:00"/>
    <s v="Monday   "/>
    <x v="1"/>
    <x v="0"/>
    <n v="663"/>
  </r>
  <r>
    <d v="2025-09-16T00:00:00"/>
    <s v="Audible*0E7OQ5Z23"/>
    <x v="8"/>
    <s v="Sale"/>
    <n v="4.99"/>
    <x v="79"/>
    <n v="4.99"/>
    <n v="2025"/>
    <n v="9"/>
    <s v="2025-09"/>
    <d v="2025-09-16T00:00:00"/>
    <s v="Tuesday  "/>
    <x v="1"/>
    <x v="0"/>
    <n v="664"/>
  </r>
  <r>
    <d v="2025-08-25T00:00:00"/>
    <s v="Audible*NB6RF5YP3"/>
    <x v="8"/>
    <s v="Sale"/>
    <n v="14.95"/>
    <x v="79"/>
    <n v="14.95"/>
    <n v="2025"/>
    <n v="8"/>
    <s v="2025-08"/>
    <d v="2025-08-25T00:00:00"/>
    <s v="Monday   "/>
    <x v="1"/>
    <x v="0"/>
    <n v="665"/>
  </r>
  <r>
    <d v="2025-07-25T00:00:00"/>
    <s v="Audible*190BL7O53"/>
    <x v="8"/>
    <s v="Sale"/>
    <n v="14.95"/>
    <x v="79"/>
    <n v="14.95"/>
    <n v="2025"/>
    <n v="7"/>
    <s v="2025-07"/>
    <d v="2025-07-25T00:00:00"/>
    <s v="Friday   "/>
    <x v="1"/>
    <x v="0"/>
    <n v="666"/>
  </r>
  <r>
    <d v="2025-06-25T00:00:00"/>
    <s v="Audible*NO2SQ0WP0"/>
    <x v="8"/>
    <s v="Sale"/>
    <n v="14.95"/>
    <x v="79"/>
    <n v="14.95"/>
    <n v="2025"/>
    <n v="6"/>
    <s v="2025-06"/>
    <d v="2025-06-25T00:00:00"/>
    <s v="Wednesday"/>
    <x v="1"/>
    <x v="0"/>
    <n v="667"/>
  </r>
  <r>
    <d v="2025-06-05T00:00:00"/>
    <s v="Audible*N68182860"/>
    <x v="8"/>
    <s v="Sale"/>
    <n v="3.24"/>
    <x v="79"/>
    <n v="3.24"/>
    <n v="2025"/>
    <n v="6"/>
    <s v="2025-06"/>
    <d v="2025-06-05T00:00:00"/>
    <s v="Thursday "/>
    <x v="1"/>
    <x v="0"/>
    <n v="668"/>
  </r>
  <r>
    <d v="2025-06-05T00:00:00"/>
    <s v="Audible*N66DV78F0"/>
    <x v="8"/>
    <s v="Sale"/>
    <n v="3.24"/>
    <x v="79"/>
    <n v="3.24"/>
    <n v="2025"/>
    <n v="6"/>
    <s v="2025-06"/>
    <d v="2025-06-05T00:00:00"/>
    <s v="Thursday "/>
    <x v="1"/>
    <x v="0"/>
    <n v="669"/>
  </r>
  <r>
    <d v="2025-06-03T00:00:00"/>
    <s v="Audible*NH8LZ3OL2"/>
    <x v="8"/>
    <s v="Sale"/>
    <n v="4.41"/>
    <x v="79"/>
    <n v="4.41"/>
    <n v="2025"/>
    <n v="6"/>
    <s v="2025-06"/>
    <d v="2025-06-03T00:00:00"/>
    <s v="Tuesday  "/>
    <x v="1"/>
    <x v="0"/>
    <n v="670"/>
  </r>
  <r>
    <d v="2025-09-20T00:00:00"/>
    <s v="DOMINO'S 2946 OSWEGO IL"/>
    <x v="3"/>
    <s v="Sale"/>
    <n v="39.67"/>
    <x v="35"/>
    <n v="39.67"/>
    <n v="2025"/>
    <n v="9"/>
    <s v="2025-09"/>
    <d v="2025-09-20T00:00:00"/>
    <s v="Saturday "/>
    <x v="1"/>
    <x v="0"/>
    <n v="671"/>
  </r>
  <r>
    <d v="2025-12-19T00:00:00"/>
    <s v="TCKTWEB*CHRISOCONNOR"/>
    <x v="8"/>
    <s v="Sale"/>
    <n v="33.299999999999997"/>
    <x v="152"/>
    <n v="33.299999999999997"/>
    <n v="2025"/>
    <n v="12"/>
    <s v="2025-12"/>
    <d v="2025-12-19T00:00:00"/>
    <s v="Friday   "/>
    <x v="1"/>
    <x v="0"/>
    <n v="1054"/>
  </r>
  <r>
    <d v="2026-03-31T00:00:00"/>
    <s v="MLB*BREWERS TICKETS"/>
    <x v="8"/>
    <s v="Sale"/>
    <n v="89"/>
    <x v="153"/>
    <n v="89"/>
    <n v="2026"/>
    <n v="3"/>
    <s v="2026-03"/>
    <d v="2026-03-31T00:00:00"/>
    <s v="Tuesday  "/>
    <x v="1"/>
    <x v="0"/>
    <n v="959"/>
  </r>
  <r>
    <d v="2026-03-13T00:00:00"/>
    <s v="DD/BR #340391 Q35"/>
    <x v="3"/>
    <s v="Sale"/>
    <n v="5.17"/>
    <x v="4"/>
    <n v="5.17"/>
    <n v="2026"/>
    <n v="3"/>
    <s v="2026-03"/>
    <d v="2026-03-13T00:00:00"/>
    <s v="Friday   "/>
    <x v="1"/>
    <x v="0"/>
    <n v="960"/>
  </r>
  <r>
    <d v="2026-02-17T00:00:00"/>
    <s v="DD/BR #340391 Q35"/>
    <x v="3"/>
    <s v="Sale"/>
    <n v="9.6999999999999993"/>
    <x v="4"/>
    <n v="9.6999999999999993"/>
    <n v="2026"/>
    <n v="2"/>
    <s v="2026-02"/>
    <d v="2026-02-17T00:00:00"/>
    <s v="Tuesday  "/>
    <x v="1"/>
    <x v="0"/>
    <n v="961"/>
  </r>
  <r>
    <d v="2026-03-25T00:00:00"/>
    <s v="Audible*J63QR02E3"/>
    <x v="8"/>
    <s v="Sale"/>
    <n v="14.95"/>
    <x v="79"/>
    <n v="14.95"/>
    <n v="2026"/>
    <n v="3"/>
    <s v="2026-03"/>
    <d v="2026-03-25T00:00:00"/>
    <s v="Wednesday"/>
    <x v="1"/>
    <x v="0"/>
    <n v="962"/>
  </r>
  <r>
    <d v="2026-02-25T00:00:00"/>
    <s v="Audible*V12JW2S13"/>
    <x v="8"/>
    <s v="Sale"/>
    <n v="14.95"/>
    <x v="79"/>
    <n v="14.95"/>
    <n v="2026"/>
    <n v="2"/>
    <s v="2026-02"/>
    <d v="2026-02-25T00:00:00"/>
    <s v="Wednesday"/>
    <x v="1"/>
    <x v="0"/>
    <n v="963"/>
  </r>
  <r>
    <d v="2026-03-17T00:00:00"/>
    <s v="STARBUCKS STORE 54175"/>
    <x v="3"/>
    <s v="Sale"/>
    <n v="13.24"/>
    <x v="126"/>
    <n v="13.24"/>
    <n v="2026"/>
    <n v="3"/>
    <s v="2026-03"/>
    <d v="2026-03-17T00:00:00"/>
    <s v="Tuesday  "/>
    <x v="1"/>
    <x v="0"/>
    <n v="964"/>
  </r>
  <r>
    <d v="2026-02-12T00:00:00"/>
    <s v="DD/BR #340391 Q35"/>
    <x v="3"/>
    <s v="Sale"/>
    <n v="20.18"/>
    <x v="4"/>
    <n v="20.18"/>
    <n v="2026"/>
    <n v="2"/>
    <s v="2026-02"/>
    <d v="2026-02-12T00:00:00"/>
    <s v="Thursday "/>
    <x v="1"/>
    <x v="0"/>
    <n v="965"/>
  </r>
  <r>
    <d v="2026-03-22T00:00:00"/>
    <s v="TACO BELL #035323"/>
    <x v="3"/>
    <s v="Sale"/>
    <n v="12.31"/>
    <x v="116"/>
    <n v="12.31"/>
    <n v="2026"/>
    <n v="3"/>
    <s v="2026-03"/>
    <d v="2026-03-22T00:00:00"/>
    <s v="Sunday   "/>
    <x v="1"/>
    <x v="0"/>
    <n v="966"/>
  </r>
  <r>
    <d v="2026-03-13T00:00:00"/>
    <s v="TACO BELL #30401"/>
    <x v="3"/>
    <s v="Sale"/>
    <n v="15.93"/>
    <x v="116"/>
    <n v="15.93"/>
    <n v="2026"/>
    <n v="3"/>
    <s v="2026-03"/>
    <d v="2026-03-13T00:00:00"/>
    <s v="Friday   "/>
    <x v="1"/>
    <x v="0"/>
    <n v="968"/>
  </r>
  <r>
    <d v="2026-03-18T00:00:00"/>
    <s v="MLB*BREWERS TICKETS"/>
    <x v="8"/>
    <s v="Sale"/>
    <n v="58"/>
    <x v="153"/>
    <n v="58"/>
    <n v="2026"/>
    <n v="3"/>
    <s v="2026-03"/>
    <d v="2026-03-18T00:00:00"/>
    <s v="Wednesday"/>
    <x v="1"/>
    <x v="0"/>
    <n v="975"/>
  </r>
  <r>
    <d v="2026-02-26T00:00:00"/>
    <s v="WENDY'S #0507"/>
    <x v="3"/>
    <s v="Sale"/>
    <n v="5.63"/>
    <x v="30"/>
    <n v="5.63"/>
    <n v="2026"/>
    <n v="2"/>
    <s v="2026-02"/>
    <d v="2026-02-26T00:00:00"/>
    <s v="Thursday "/>
    <x v="1"/>
    <x v="0"/>
    <n v="978"/>
  </r>
  <r>
    <d v="2026-03-08T00:00:00"/>
    <s v="MLB*BREWERS TICKETS"/>
    <x v="8"/>
    <s v="Sale"/>
    <n v="131.5"/>
    <x v="153"/>
    <n v="131.5"/>
    <n v="2026"/>
    <n v="3"/>
    <s v="2026-03"/>
    <d v="2026-03-08T00:00:00"/>
    <s v="Sunday   "/>
    <x v="1"/>
    <x v="0"/>
    <n v="979"/>
  </r>
  <r>
    <d v="2026-02-28T00:00:00"/>
    <s v="STARBUCKS STORE 11490"/>
    <x v="3"/>
    <s v="Sale"/>
    <n v="13.02"/>
    <x v="126"/>
    <n v="13.02"/>
    <n v="2026"/>
    <n v="2"/>
    <s v="2026-02"/>
    <d v="2026-02-28T00:00:00"/>
    <s v="Saturday "/>
    <x v="1"/>
    <x v="0"/>
    <n v="997"/>
  </r>
  <r>
    <d v="2026-02-24T00:00:00"/>
    <s v="STARBUCKS STORE 54175"/>
    <x v="3"/>
    <s v="Sale"/>
    <n v="6.24"/>
    <x v="126"/>
    <n v="6.24"/>
    <n v="2026"/>
    <n v="2"/>
    <s v="2026-02"/>
    <d v="2026-02-24T00:00:00"/>
    <s v="Tuesday  "/>
    <x v="1"/>
    <x v="0"/>
    <n v="998"/>
  </r>
  <r>
    <d v="2026-02-14T00:00:00"/>
    <s v="STARBUCKS STORE 70143"/>
    <x v="3"/>
    <s v="Sale"/>
    <n v="12.15"/>
    <x v="126"/>
    <n v="12.15"/>
    <n v="2026"/>
    <n v="2"/>
    <s v="2026-02"/>
    <d v="2026-02-14T00:00:00"/>
    <s v="Saturday "/>
    <x v="1"/>
    <x v="0"/>
    <n v="1001"/>
  </r>
  <r>
    <d v="2026-03-12T00:00:00"/>
    <s v="MCDONALD'S F3488"/>
    <x v="3"/>
    <s v="Sale"/>
    <n v="8.89"/>
    <x v="23"/>
    <n v="8.89"/>
    <n v="2026"/>
    <n v="3"/>
    <s v="2026-03"/>
    <d v="2026-03-12T00:00:00"/>
    <s v="Thursday "/>
    <x v="1"/>
    <x v="0"/>
    <n v="1005"/>
  </r>
  <r>
    <d v="2026-03-09T00:00:00"/>
    <s v="MCDONALD'S F14021"/>
    <x v="3"/>
    <s v="Sale"/>
    <n v="10.27"/>
    <x v="23"/>
    <n v="10.27"/>
    <n v="2026"/>
    <n v="3"/>
    <s v="2026-03"/>
    <d v="2026-03-09T00:00:00"/>
    <s v="Monday   "/>
    <x v="1"/>
    <x v="0"/>
    <n v="1006"/>
  </r>
  <r>
    <d v="2026-03-08T00:00:00"/>
    <s v="MCDONALD'S M7214"/>
    <x v="3"/>
    <s v="Sale"/>
    <n v="21.88"/>
    <x v="23"/>
    <n v="21.88"/>
    <n v="2026"/>
    <n v="3"/>
    <s v="2026-03"/>
    <d v="2026-03-08T00:00:00"/>
    <s v="Sunday   "/>
    <x v="1"/>
    <x v="0"/>
    <n v="1007"/>
  </r>
  <r>
    <d v="2025-10-01T00:00:00"/>
    <s v="WM SUPERCENTER #3434"/>
    <x v="9"/>
    <s v="Sale"/>
    <n v="180.37"/>
    <x v="8"/>
    <n v="180.37"/>
    <n v="2025"/>
    <n v="10"/>
    <s v="2025-10"/>
    <d v="2025-10-01T00:00:00"/>
    <s v="Wednesday"/>
    <x v="1"/>
    <x v="1"/>
    <n v="588"/>
  </r>
  <r>
    <d v="2025-09-17T00:00:00"/>
    <s v="WAL-MART #1413"/>
    <x v="9"/>
    <s v="Sale"/>
    <n v="75.06"/>
    <x v="8"/>
    <n v="75.06"/>
    <n v="2025"/>
    <n v="9"/>
    <s v="2025-09"/>
    <d v="2025-09-17T00:00:00"/>
    <s v="Wednesday"/>
    <x v="1"/>
    <x v="1"/>
    <n v="513"/>
  </r>
  <r>
    <d v="2025-08-22T00:00:00"/>
    <s v="WAL-MART #4286"/>
    <x v="9"/>
    <s v="Sale"/>
    <n v="106.75"/>
    <x v="8"/>
    <n v="106.75"/>
    <n v="2025"/>
    <n v="8"/>
    <s v="2025-08"/>
    <d v="2025-08-22T00:00:00"/>
    <s v="Friday   "/>
    <x v="1"/>
    <x v="1"/>
    <n v="478"/>
  </r>
  <r>
    <d v="2026-03-11T00:00:00"/>
    <s v="WM SUPERCENTER #3434"/>
    <x v="9"/>
    <s v="Sale"/>
    <n v="12.14"/>
    <x v="8"/>
    <n v="12.14"/>
    <n v="2026"/>
    <n v="3"/>
    <s v="2026-03"/>
    <d v="2026-03-11T00:00:00"/>
    <s v="Wednesday"/>
    <x v="1"/>
    <x v="1"/>
    <n v="455"/>
  </r>
  <r>
    <d v="2025-06-03T00:00:00"/>
    <s v="WAL-MART #3434"/>
    <x v="9"/>
    <s v="Sale"/>
    <n v="84.21"/>
    <x v="8"/>
    <n v="84.21"/>
    <n v="2025"/>
    <n v="6"/>
    <s v="2025-06"/>
    <d v="2025-06-03T00:00:00"/>
    <s v="Tuesday  "/>
    <x v="1"/>
    <x v="1"/>
    <n v="570"/>
  </r>
  <r>
    <d v="2025-09-09T00:00:00"/>
    <s v="WAL-MART #3434"/>
    <x v="9"/>
    <s v="Sale"/>
    <n v="65.98"/>
    <x v="8"/>
    <n v="65.98"/>
    <n v="2025"/>
    <n v="9"/>
    <s v="2025-09"/>
    <d v="2025-09-09T00:00:00"/>
    <s v="Tuesday  "/>
    <x v="1"/>
    <x v="1"/>
    <n v="558"/>
  </r>
  <r>
    <d v="2026-01-01T00:00:00"/>
    <s v="WAL-MART #1413"/>
    <x v="9"/>
    <s v="Sale"/>
    <n v="53.17"/>
    <x v="8"/>
    <n v="53.17"/>
    <n v="2026"/>
    <n v="1"/>
    <s v="2026-01"/>
    <d v="2026-01-01T00:00:00"/>
    <s v="Thursday "/>
    <x v="1"/>
    <x v="1"/>
    <n v="545"/>
  </r>
  <r>
    <d v="2025-07-01T00:00:00"/>
    <s v="WAL-MART #5060"/>
    <x v="9"/>
    <s v="Sale"/>
    <n v="63.85"/>
    <x v="8"/>
    <n v="63.85"/>
    <n v="2025"/>
    <n v="7"/>
    <s v="2025-07"/>
    <d v="2025-07-01T00:00:00"/>
    <s v="Tuesday  "/>
    <x v="1"/>
    <x v="1"/>
    <n v="489"/>
  </r>
  <r>
    <d v="2026-02-24T00:00:00"/>
    <s v="MCDONALD'S F12987"/>
    <x v="3"/>
    <s v="Sale"/>
    <n v="12.31"/>
    <x v="23"/>
    <n v="12.31"/>
    <n v="2026"/>
    <n v="2"/>
    <s v="2026-02"/>
    <d v="2026-02-24T00:00:00"/>
    <s v="Tuesday  "/>
    <x v="1"/>
    <x v="0"/>
    <n v="1008"/>
  </r>
  <r>
    <d v="2026-02-23T00:00:00"/>
    <s v="MCDONALD'S F3488"/>
    <x v="3"/>
    <s v="Sale"/>
    <n v="5.63"/>
    <x v="23"/>
    <n v="5.63"/>
    <n v="2026"/>
    <n v="2"/>
    <s v="2026-02"/>
    <d v="2026-02-23T00:00:00"/>
    <s v="Monday   "/>
    <x v="1"/>
    <x v="0"/>
    <n v="1009"/>
  </r>
  <r>
    <d v="2025-12-18T00:00:00"/>
    <s v="WAL-MART #1413"/>
    <x v="9"/>
    <s v="Sale"/>
    <n v="86.55"/>
    <x v="8"/>
    <n v="86.55"/>
    <n v="2025"/>
    <n v="12"/>
    <s v="2025-12"/>
    <d v="2025-12-18T00:00:00"/>
    <s v="Thursday "/>
    <x v="1"/>
    <x v="1"/>
    <n v="421"/>
  </r>
  <r>
    <d v="2025-08-27T00:00:00"/>
    <s v="WAL-MART #4286"/>
    <x v="9"/>
    <s v="Sale"/>
    <n v="9.3800000000000008"/>
    <x v="8"/>
    <n v="9.3800000000000008"/>
    <n v="2025"/>
    <n v="8"/>
    <s v="2025-08"/>
    <d v="2025-08-27T00:00:00"/>
    <s v="Wednesday"/>
    <x v="1"/>
    <x v="1"/>
    <n v="477"/>
  </r>
  <r>
    <d v="2025-09-17T00:00:00"/>
    <s v="WM SUPERCENTER #1413"/>
    <x v="9"/>
    <s v="Return"/>
    <n v="-21.67"/>
    <x v="8"/>
    <n v="21.67"/>
    <n v="2025"/>
    <n v="9"/>
    <s v="2025-09"/>
    <d v="2025-09-17T00:00:00"/>
    <s v="Wednesday"/>
    <x v="0"/>
    <x v="1"/>
    <n v="591"/>
  </r>
  <r>
    <d v="2026-01-30T00:00:00"/>
    <s v="WAL-MART #3434"/>
    <x v="9"/>
    <s v="Sale"/>
    <n v="72"/>
    <x v="8"/>
    <n v="72"/>
    <n v="2026"/>
    <n v="1"/>
    <s v="2026-01"/>
    <d v="2026-01-30T00:00:00"/>
    <s v="Friday   "/>
    <x v="1"/>
    <x v="1"/>
    <n v="544"/>
  </r>
  <r>
    <d v="2025-07-26T00:00:00"/>
    <s v="WM SUPERCENTER #4286"/>
    <x v="9"/>
    <s v="Sale"/>
    <n v="205.48"/>
    <x v="8"/>
    <n v="205.48"/>
    <n v="2025"/>
    <n v="7"/>
    <s v="2025-07"/>
    <d v="2025-07-26T00:00:00"/>
    <s v="Saturday "/>
    <x v="1"/>
    <x v="1"/>
    <n v="533"/>
  </r>
  <r>
    <d v="2025-11-28T00:00:00"/>
    <s v="WAL-MART #4286"/>
    <x v="9"/>
    <s v="Sale"/>
    <n v="233.95"/>
    <x v="8"/>
    <n v="233.95"/>
    <n v="2025"/>
    <n v="11"/>
    <s v="2025-11"/>
    <d v="2025-11-28T00:00:00"/>
    <s v="Friday   "/>
    <x v="1"/>
    <x v="1"/>
    <n v="443"/>
  </r>
  <r>
    <d v="2025-12-17T00:00:00"/>
    <s v="WM SUPERCENTER #1413"/>
    <x v="9"/>
    <s v="Sale"/>
    <n v="33.520000000000003"/>
    <x v="8"/>
    <n v="33.520000000000003"/>
    <n v="2025"/>
    <n v="12"/>
    <s v="2025-12"/>
    <d v="2025-12-17T00:00:00"/>
    <s v="Wednesday"/>
    <x v="1"/>
    <x v="1"/>
    <n v="466"/>
  </r>
  <r>
    <d v="2025-11-19T00:00:00"/>
    <s v="WM SUPERCENTER #3434"/>
    <x v="9"/>
    <s v="Return"/>
    <n v="-13.02"/>
    <x v="8"/>
    <n v="13.02"/>
    <n v="2025"/>
    <n v="11"/>
    <s v="2025-11"/>
    <d v="2025-11-19T00:00:00"/>
    <s v="Wednesday"/>
    <x v="0"/>
    <x v="1"/>
    <n v="459"/>
  </r>
  <r>
    <d v="2025-11-19T00:00:00"/>
    <s v="WM SUPERCENTER #3434"/>
    <x v="9"/>
    <s v="Return"/>
    <n v="-21.63"/>
    <x v="8"/>
    <n v="21.63"/>
    <n v="2025"/>
    <n v="11"/>
    <s v="2025-11"/>
    <d v="2025-11-19T00:00:00"/>
    <s v="Wednesday"/>
    <x v="0"/>
    <x v="1"/>
    <n v="460"/>
  </r>
  <r>
    <d v="2025-08-17T00:00:00"/>
    <s v="WAL-MART #4641"/>
    <x v="9"/>
    <s v="Sale"/>
    <n v="216.88"/>
    <x v="8"/>
    <n v="216.88"/>
    <n v="2025"/>
    <n v="8"/>
    <s v="2025-08"/>
    <d v="2025-08-17T00:00:00"/>
    <s v="Sunday   "/>
    <x v="1"/>
    <x v="1"/>
    <n v="484"/>
  </r>
  <r>
    <d v="2025-05-04T00:00:00"/>
    <s v="WAL-MART #1413"/>
    <x v="9"/>
    <s v="Sale"/>
    <n v="234.01"/>
    <x v="8"/>
    <n v="234.01"/>
    <n v="2025"/>
    <n v="5"/>
    <s v="2025-05"/>
    <d v="2025-05-04T00:00:00"/>
    <s v="Sunday   "/>
    <x v="1"/>
    <x v="1"/>
    <n v="575"/>
  </r>
  <r>
    <d v="2025-08-14T00:00:00"/>
    <s v="WM SUPERCENTER #1413"/>
    <x v="9"/>
    <s v="Sale"/>
    <n v="77.430000000000007"/>
    <x v="8"/>
    <n v="77.430000000000007"/>
    <n v="2025"/>
    <n v="8"/>
    <s v="2025-08"/>
    <d v="2025-08-14T00:00:00"/>
    <s v="Thursday "/>
    <x v="1"/>
    <x v="1"/>
    <n v="593"/>
  </r>
  <r>
    <d v="2025-08-20T00:00:00"/>
    <s v="ALL SAFE SELF STORAGE LI 815-6904768 IL_x000a_NETFLIX.COM_x000a_CH1/53-47248"/>
    <x v="6"/>
    <s v="Sale"/>
    <n v="138.6"/>
    <x v="19"/>
    <n v="138.6"/>
    <n v="2025"/>
    <n v="8"/>
    <s v="2025-08"/>
    <d v="2025-08-20T00:00:00"/>
    <s v="Wednesday"/>
    <x v="1"/>
    <x v="1"/>
    <n v="1807"/>
  </r>
  <r>
    <d v="2026-02-13T00:00:00"/>
    <s v="MCDONALDS F34745"/>
    <x v="3"/>
    <s v="Sale"/>
    <n v="11.22"/>
    <x v="23"/>
    <n v="11.22"/>
    <n v="2026"/>
    <n v="2"/>
    <s v="2026-02"/>
    <d v="2026-02-13T00:00:00"/>
    <s v="Friday   "/>
    <x v="1"/>
    <x v="0"/>
    <n v="1010"/>
  </r>
  <r>
    <d v="2026-02-14T00:00:00"/>
    <s v="MCDONALD'S F11558"/>
    <x v="3"/>
    <s v="Sale"/>
    <n v="6.48"/>
    <x v="23"/>
    <n v="6.48"/>
    <n v="2026"/>
    <n v="2"/>
    <s v="2026-02"/>
    <d v="2026-02-14T00:00:00"/>
    <s v="Saturday "/>
    <x v="1"/>
    <x v="0"/>
    <n v="1011"/>
  </r>
  <r>
    <d v="2026-02-13T00:00:00"/>
    <s v="DOMINO'S 2786"/>
    <x v="3"/>
    <s v="Sale"/>
    <n v="26.78"/>
    <x v="35"/>
    <n v="26.78"/>
    <n v="2026"/>
    <n v="2"/>
    <s v="2026-02"/>
    <d v="2026-02-13T00:00:00"/>
    <s v="Friday   "/>
    <x v="1"/>
    <x v="0"/>
    <n v="1012"/>
  </r>
  <r>
    <d v="2026-01-01T00:00:00"/>
    <s v="DD/BR #344504 Q35"/>
    <x v="3"/>
    <s v="Sale"/>
    <n v="9.2100000000000009"/>
    <x v="4"/>
    <n v="9.2100000000000009"/>
    <n v="2026"/>
    <n v="1"/>
    <s v="2026-01"/>
    <d v="2026-01-01T00:00:00"/>
    <s v="Thursday "/>
    <x v="1"/>
    <x v="0"/>
    <n v="1016"/>
  </r>
  <r>
    <d v="2026-01-31T00:00:00"/>
    <s v="ELEMENT MIAMI INTERNATION"/>
    <x v="3"/>
    <s v="Sale"/>
    <n v="17.149999999999999"/>
    <x v="154"/>
    <n v="17.149999999999999"/>
    <n v="2026"/>
    <n v="1"/>
    <s v="2026-01"/>
    <d v="2026-01-31T00:00:00"/>
    <s v="Saturday "/>
    <x v="1"/>
    <x v="0"/>
    <n v="1017"/>
  </r>
  <r>
    <d v="2026-01-11T00:00:00"/>
    <s v="DOMINO'S 2946"/>
    <x v="3"/>
    <s v="Sale"/>
    <n v="26.95"/>
    <x v="35"/>
    <n v="26.95"/>
    <n v="2026"/>
    <n v="1"/>
    <s v="2026-01"/>
    <d v="2026-01-11T00:00:00"/>
    <s v="Sunday   "/>
    <x v="1"/>
    <x v="0"/>
    <n v="1019"/>
  </r>
  <r>
    <d v="2026-01-24T00:00:00"/>
    <s v="TST*NEAT KITCHEN &amp;amp; BAR O"/>
    <x v="3"/>
    <s v="Sale"/>
    <n v="36.81"/>
    <x v="155"/>
    <n v="36.81"/>
    <n v="2026"/>
    <n v="1"/>
    <s v="2026-01"/>
    <d v="2026-01-24T00:00:00"/>
    <s v="Saturday "/>
    <x v="1"/>
    <x v="0"/>
    <n v="1057"/>
  </r>
  <r>
    <d v="2026-01-31T00:00:00"/>
    <s v="ZOOT'S CAF ORD"/>
    <x v="3"/>
    <s v="Sale"/>
    <n v="7.81"/>
    <x v="156"/>
    <n v="7.81"/>
    <n v="2026"/>
    <n v="1"/>
    <s v="2026-01"/>
    <d v="2026-01-31T00:00:00"/>
    <s v="Saturday "/>
    <x v="1"/>
    <x v="0"/>
    <n v="1055"/>
  </r>
  <r>
    <d v="2026-01-25T00:00:00"/>
    <s v="TACO BELL #035323"/>
    <x v="3"/>
    <s v="Sale"/>
    <n v="18.670000000000002"/>
    <x v="116"/>
    <n v="18.670000000000002"/>
    <n v="2026"/>
    <n v="1"/>
    <s v="2026-01"/>
    <d v="2026-01-25T00:00:00"/>
    <s v="Sunday   "/>
    <x v="1"/>
    <x v="0"/>
    <n v="1056"/>
  </r>
  <r>
    <d v="2026-01-22T00:00:00"/>
    <s v="PANERA BREAD #204414 P"/>
    <x v="3"/>
    <s v="Sale"/>
    <n v="19.97"/>
    <x v="64"/>
    <n v="19.97"/>
    <n v="2026"/>
    <n v="1"/>
    <s v="2026-01"/>
    <d v="2026-01-22T00:00:00"/>
    <s v="Thursday "/>
    <x v="1"/>
    <x v="0"/>
    <n v="1058"/>
  </r>
  <r>
    <d v="2026-01-16T00:00:00"/>
    <s v="JIMMY JOHNS - 0585"/>
    <x v="3"/>
    <s v="Sale"/>
    <n v="10.95"/>
    <x v="36"/>
    <n v="10.95"/>
    <n v="2026"/>
    <n v="1"/>
    <s v="2026-01"/>
    <d v="2026-01-16T00:00:00"/>
    <s v="Friday   "/>
    <x v="1"/>
    <x v="0"/>
    <n v="1059"/>
  </r>
  <r>
    <d v="2025-12-26T00:00:00"/>
    <s v="JIMMY JOHNS - 0585 - ECOM"/>
    <x v="3"/>
    <s v="Sale"/>
    <n v="30.39"/>
    <x v="36"/>
    <n v="30.39"/>
    <n v="2025"/>
    <n v="12"/>
    <s v="2025-12"/>
    <d v="2025-12-26T00:00:00"/>
    <s v="Friday   "/>
    <x v="1"/>
    <x v="0"/>
    <n v="1062"/>
  </r>
  <r>
    <d v="2025-12-18T00:00:00"/>
    <s v="TACO BELL 036195"/>
    <x v="3"/>
    <s v="Sale"/>
    <n v="12.47"/>
    <x v="116"/>
    <n v="12.47"/>
    <n v="2025"/>
    <n v="12"/>
    <s v="2025-12"/>
    <d v="2025-12-18T00:00:00"/>
    <s v="Thursday "/>
    <x v="1"/>
    <x v="0"/>
    <n v="1063"/>
  </r>
  <r>
    <d v="2026-01-11T00:00:00"/>
    <s v="TST*OZZIES DINER"/>
    <x v="3"/>
    <s v="Sale"/>
    <n v="48.75"/>
    <x v="157"/>
    <n v="48.75"/>
    <n v="2026"/>
    <n v="1"/>
    <s v="2026-01"/>
    <d v="2026-01-11T00:00:00"/>
    <s v="Sunday   "/>
    <x v="1"/>
    <x v="0"/>
    <n v="1060"/>
  </r>
  <r>
    <d v="2026-02-19T00:00:00"/>
    <s v="TCKTWEB*CHRISTOPHERTIT"/>
    <x v="8"/>
    <s v="Sale"/>
    <n v="66.69"/>
    <x v="158"/>
    <n v="66.69"/>
    <n v="2026"/>
    <n v="2"/>
    <s v="2026-02"/>
    <d v="2026-02-19T00:00:00"/>
    <s v="Thursday "/>
    <x v="1"/>
    <x v="0"/>
    <n v="985"/>
  </r>
  <r>
    <d v="2026-03-20T00:00:00"/>
    <s v="SXM*SIRIUSXM.COM/ACCT"/>
    <x v="8"/>
    <s v="Sale"/>
    <n v="7.99"/>
    <x v="31"/>
    <n v="7.99"/>
    <n v="2026"/>
    <n v="3"/>
    <s v="2026-03"/>
    <d v="2026-03-20T00:00:00"/>
    <s v="Friday   "/>
    <x v="1"/>
    <x v="0"/>
    <n v="999"/>
  </r>
  <r>
    <d v="2026-02-20T00:00:00"/>
    <s v="SXM*SIRIUSXM.COM/ACCT"/>
    <x v="8"/>
    <s v="Sale"/>
    <n v="7.99"/>
    <x v="31"/>
    <n v="7.99"/>
    <n v="2026"/>
    <n v="2"/>
    <s v="2026-02"/>
    <d v="2026-02-20T00:00:00"/>
    <s v="Friday   "/>
    <x v="1"/>
    <x v="0"/>
    <n v="1000"/>
  </r>
  <r>
    <d v="2025-12-22T00:00:00"/>
    <s v="ALLIANZ TRAVEL INS"/>
    <x v="8"/>
    <s v="Sale"/>
    <n v="9.5"/>
    <x v="159"/>
    <n v="9.5"/>
    <n v="2025"/>
    <n v="12"/>
    <s v="2025-12"/>
    <d v="2025-12-22T00:00:00"/>
    <s v="Monday   "/>
    <x v="1"/>
    <x v="0"/>
    <n v="1068"/>
  </r>
  <r>
    <d v="2026-01-29T00:00:00"/>
    <s v="MCDONALD'S F3488"/>
    <x v="3"/>
    <s v="Sale"/>
    <n v="8.02"/>
    <x v="23"/>
    <n v="8.02"/>
    <n v="2026"/>
    <n v="1"/>
    <s v="2026-01"/>
    <d v="2026-01-29T00:00:00"/>
    <s v="Thursday "/>
    <x v="1"/>
    <x v="0"/>
    <n v="1069"/>
  </r>
  <r>
    <d v="2026-01-23T00:00:00"/>
    <s v="MCDONALD'S F3488"/>
    <x v="3"/>
    <s v="Sale"/>
    <n v="8.4499999999999993"/>
    <x v="23"/>
    <n v="8.4499999999999993"/>
    <n v="2026"/>
    <n v="1"/>
    <s v="2026-01"/>
    <d v="2026-01-23T00:00:00"/>
    <s v="Friday   "/>
    <x v="1"/>
    <x v="0"/>
    <n v="1070"/>
  </r>
  <r>
    <d v="2026-01-17T00:00:00"/>
    <s v="MCDONALD'S F19354"/>
    <x v="3"/>
    <s v="Sale"/>
    <n v="5.4"/>
    <x v="23"/>
    <n v="5.4"/>
    <n v="2026"/>
    <n v="1"/>
    <s v="2026-01"/>
    <d v="2026-01-17T00:00:00"/>
    <s v="Saturday "/>
    <x v="1"/>
    <x v="0"/>
    <n v="1071"/>
  </r>
  <r>
    <d v="2026-01-17T00:00:00"/>
    <s v="MCDONALD'S F11558"/>
    <x v="3"/>
    <s v="Sale"/>
    <n v="6.48"/>
    <x v="23"/>
    <n v="6.48"/>
    <n v="2026"/>
    <n v="1"/>
    <s v="2026-01"/>
    <d v="2026-01-17T00:00:00"/>
    <s v="Saturday "/>
    <x v="1"/>
    <x v="0"/>
    <n v="1072"/>
  </r>
  <r>
    <d v="2026-01-15T00:00:00"/>
    <s v="MCDONALD'S F14021"/>
    <x v="3"/>
    <s v="Sale"/>
    <n v="16.34"/>
    <x v="23"/>
    <n v="16.34"/>
    <n v="2026"/>
    <n v="1"/>
    <s v="2026-01"/>
    <d v="2026-01-15T00:00:00"/>
    <s v="Thursday "/>
    <x v="1"/>
    <x v="0"/>
    <n v="1073"/>
  </r>
  <r>
    <d v="2025-12-24T00:00:00"/>
    <s v="MCDONALD'S F3488"/>
    <x v="3"/>
    <s v="Sale"/>
    <n v="8.43"/>
    <x v="23"/>
    <n v="8.43"/>
    <n v="2025"/>
    <n v="12"/>
    <s v="2025-12"/>
    <d v="2025-12-24T00:00:00"/>
    <s v="Wednesday"/>
    <x v="1"/>
    <x v="0"/>
    <n v="1074"/>
  </r>
  <r>
    <d v="2026-01-19T00:00:00"/>
    <s v="OUTBACK 1421"/>
    <x v="3"/>
    <s v="Sale"/>
    <n v="35.46"/>
    <x v="142"/>
    <n v="35.46"/>
    <n v="2026"/>
    <n v="1"/>
    <s v="2026-01"/>
    <d v="2026-01-19T00:00:00"/>
    <s v="Monday   "/>
    <x v="1"/>
    <x v="0"/>
    <n v="1077"/>
  </r>
  <r>
    <d v="2026-01-28T00:00:00"/>
    <s v="CHICK-FIL-A #03227"/>
    <x v="3"/>
    <s v="Sale"/>
    <n v="10.7"/>
    <x v="33"/>
    <n v="10.7"/>
    <n v="2026"/>
    <n v="1"/>
    <s v="2026-01"/>
    <d v="2026-01-28T00:00:00"/>
    <s v="Wednesday"/>
    <x v="1"/>
    <x v="0"/>
    <n v="1078"/>
  </r>
  <r>
    <d v="2025-12-09T00:00:00"/>
    <s v="PANERA BREAD #204024 P"/>
    <x v="3"/>
    <s v="Sale"/>
    <n v="23.9"/>
    <x v="64"/>
    <n v="23.9"/>
    <n v="2025"/>
    <n v="12"/>
    <s v="2025-12"/>
    <d v="2025-12-09T00:00:00"/>
    <s v="Tuesday  "/>
    <x v="1"/>
    <x v="0"/>
    <n v="1080"/>
  </r>
  <r>
    <d v="2025-12-02T00:00:00"/>
    <s v="PANERA BREAD #204024 P"/>
    <x v="3"/>
    <s v="Sale"/>
    <n v="9.73"/>
    <x v="64"/>
    <n v="9.73"/>
    <n v="2025"/>
    <n v="12"/>
    <s v="2025-12"/>
    <d v="2025-12-02T00:00:00"/>
    <s v="Tuesday  "/>
    <x v="1"/>
    <x v="0"/>
    <n v="1087"/>
  </r>
  <r>
    <d v="2025-11-30T00:00:00"/>
    <s v="TACO BELL #035323"/>
    <x v="3"/>
    <s v="Sale"/>
    <n v="14.72"/>
    <x v="116"/>
    <n v="14.72"/>
    <n v="2025"/>
    <n v="11"/>
    <s v="2025-11"/>
    <d v="2025-11-30T00:00:00"/>
    <s v="Sunday   "/>
    <x v="1"/>
    <x v="0"/>
    <n v="1088"/>
  </r>
  <r>
    <d v="2025-11-25T00:00:00"/>
    <s v="BBQ KING SMOKEHOUSE HUNT"/>
    <x v="3"/>
    <s v="Sale"/>
    <n v="61.49"/>
    <x v="160"/>
    <n v="61.49"/>
    <n v="2025"/>
    <n v="11"/>
    <s v="2025-11"/>
    <d v="2025-11-25T00:00:00"/>
    <s v="Tuesday  "/>
    <x v="1"/>
    <x v="0"/>
    <n v="1089"/>
  </r>
  <r>
    <d v="2025-11-23T00:00:00"/>
    <s v="Subway 44371"/>
    <x v="3"/>
    <s v="Sale"/>
    <n v="31.65"/>
    <x v="161"/>
    <n v="31.65"/>
    <n v="2025"/>
    <n v="11"/>
    <s v="2025-11"/>
    <d v="2025-11-23T00:00:00"/>
    <s v="Sunday   "/>
    <x v="1"/>
    <x v="0"/>
    <n v="1091"/>
  </r>
  <r>
    <d v="2025-11-17T00:00:00"/>
    <s v="PANERA BREAD #204024 P"/>
    <x v="3"/>
    <s v="Sale"/>
    <n v="13.4"/>
    <x v="64"/>
    <n v="13.4"/>
    <n v="2025"/>
    <n v="11"/>
    <s v="2025-11"/>
    <d v="2025-11-17T00:00:00"/>
    <s v="Monday   "/>
    <x v="1"/>
    <x v="0"/>
    <n v="1094"/>
  </r>
  <r>
    <d v="2025-11-16T00:00:00"/>
    <s v="KIRIN KING ASIAN CUISIN."/>
    <x v="3"/>
    <s v="Sale"/>
    <n v="28"/>
    <x v="162"/>
    <n v="28"/>
    <n v="2025"/>
    <n v="11"/>
    <s v="2025-11"/>
    <d v="2025-11-16T00:00:00"/>
    <s v="Sunday   "/>
    <x v="1"/>
    <x v="0"/>
    <n v="1100"/>
  </r>
  <r>
    <d v="2025-11-16T00:00:00"/>
    <s v="TACO BELL #035323"/>
    <x v="3"/>
    <s v="Sale"/>
    <n v="14.72"/>
    <x v="116"/>
    <n v="14.72"/>
    <n v="2025"/>
    <n v="11"/>
    <s v="2025-11"/>
    <d v="2025-11-16T00:00:00"/>
    <s v="Sunday   "/>
    <x v="1"/>
    <x v="0"/>
    <n v="1101"/>
  </r>
  <r>
    <d v="2025-11-08T00:00:00"/>
    <s v="Subway 36833"/>
    <x v="3"/>
    <s v="Sale"/>
    <n v="14.83"/>
    <x v="161"/>
    <n v="14.83"/>
    <n v="2025"/>
    <n v="11"/>
    <s v="2025-11"/>
    <d v="2025-11-08T00:00:00"/>
    <s v="Saturday "/>
    <x v="1"/>
    <x v="0"/>
    <n v="1103"/>
  </r>
  <r>
    <d v="2025-11-07T00:00:00"/>
    <s v="WENDY'S #0507"/>
    <x v="3"/>
    <s v="Sale"/>
    <n v="7.89"/>
    <x v="30"/>
    <n v="7.89"/>
    <n v="2025"/>
    <n v="11"/>
    <s v="2025-11"/>
    <d v="2025-11-07T00:00:00"/>
    <s v="Friday   "/>
    <x v="1"/>
    <x v="0"/>
    <n v="1104"/>
  </r>
  <r>
    <d v="2025-11-03T00:00:00"/>
    <s v="PANERA BREAD #204024 P"/>
    <x v="3"/>
    <s v="Sale"/>
    <n v="19.23"/>
    <x v="64"/>
    <n v="19.23"/>
    <n v="2025"/>
    <n v="11"/>
    <s v="2025-11"/>
    <d v="2025-11-03T00:00:00"/>
    <s v="Monday   "/>
    <x v="1"/>
    <x v="0"/>
    <n v="1105"/>
  </r>
  <r>
    <d v="2025-11-01T00:00:00"/>
    <s v="TACO BELL #30401"/>
    <x v="3"/>
    <s v="Sale"/>
    <n v="18.59"/>
    <x v="116"/>
    <n v="18.59"/>
    <n v="2025"/>
    <n v="11"/>
    <s v="2025-11"/>
    <d v="2025-11-01T00:00:00"/>
    <s v="Saturday "/>
    <x v="1"/>
    <x v="0"/>
    <n v="1106"/>
  </r>
  <r>
    <d v="2025-10-31T00:00:00"/>
    <s v="TACO BELL #30401"/>
    <x v="3"/>
    <s v="Sale"/>
    <n v="18.59"/>
    <x v="116"/>
    <n v="18.59"/>
    <n v="2025"/>
    <n v="10"/>
    <s v="2025-10"/>
    <d v="2025-10-31T00:00:00"/>
    <s v="Friday   "/>
    <x v="1"/>
    <x v="0"/>
    <n v="1107"/>
  </r>
  <r>
    <d v="2025-10-23T00:00:00"/>
    <s v="WENDY'S #0507"/>
    <x v="3"/>
    <s v="Sale"/>
    <n v="8.32"/>
    <x v="30"/>
    <n v="8.32"/>
    <n v="2025"/>
    <n v="10"/>
    <s v="2025-10"/>
    <d v="2025-10-23T00:00:00"/>
    <s v="Thursday "/>
    <x v="1"/>
    <x v="0"/>
    <n v="1113"/>
  </r>
  <r>
    <d v="2025-11-15T00:00:00"/>
    <s v="STARBUCKS STORE 02556"/>
    <x v="3"/>
    <s v="Sale"/>
    <n v="13.24"/>
    <x v="126"/>
    <n v="13.24"/>
    <n v="2025"/>
    <n v="11"/>
    <s v="2025-11"/>
    <d v="2025-11-15T00:00:00"/>
    <s v="Saturday "/>
    <x v="1"/>
    <x v="0"/>
    <n v="1114"/>
  </r>
  <r>
    <d v="2025-12-06T00:00:00"/>
    <s v="MCDONALD'S F11558"/>
    <x v="3"/>
    <s v="Sale"/>
    <n v="20.38"/>
    <x v="23"/>
    <n v="20.38"/>
    <n v="2025"/>
    <n v="12"/>
    <s v="2025-12"/>
    <d v="2025-12-06T00:00:00"/>
    <s v="Saturday "/>
    <x v="1"/>
    <x v="0"/>
    <n v="1115"/>
  </r>
  <r>
    <d v="2025-11-25T00:00:00"/>
    <s v="MCDONALD'S F3488"/>
    <x v="3"/>
    <s v="Sale"/>
    <n v="11.79"/>
    <x v="23"/>
    <n v="11.79"/>
    <n v="2025"/>
    <n v="11"/>
    <s v="2025-11"/>
    <d v="2025-11-25T00:00:00"/>
    <s v="Tuesday  "/>
    <x v="1"/>
    <x v="0"/>
    <n v="1116"/>
  </r>
  <r>
    <d v="2025-11-22T00:00:00"/>
    <s v="MCDONALD'S F11558"/>
    <x v="3"/>
    <s v="Sale"/>
    <n v="19.510000000000002"/>
    <x v="23"/>
    <n v="19.510000000000002"/>
    <n v="2025"/>
    <n v="11"/>
    <s v="2025-11"/>
    <d v="2025-11-22T00:00:00"/>
    <s v="Saturday "/>
    <x v="1"/>
    <x v="0"/>
    <n v="1117"/>
  </r>
  <r>
    <d v="2025-11-18T00:00:00"/>
    <s v="MCDONALD'S F3488"/>
    <x v="3"/>
    <s v="Sale"/>
    <n v="10.18"/>
    <x v="23"/>
    <n v="10.18"/>
    <n v="2025"/>
    <n v="11"/>
    <s v="2025-11"/>
    <d v="2025-11-18T00:00:00"/>
    <s v="Tuesday  "/>
    <x v="1"/>
    <x v="0"/>
    <n v="1118"/>
  </r>
  <r>
    <d v="2025-11-11T00:00:00"/>
    <s v="MCDONALD'S F34869"/>
    <x v="3"/>
    <s v="Sale"/>
    <n v="12.73"/>
    <x v="23"/>
    <n v="12.73"/>
    <n v="2025"/>
    <n v="11"/>
    <s v="2025-11"/>
    <d v="2025-11-11T00:00:00"/>
    <s v="Tuesday  "/>
    <x v="1"/>
    <x v="0"/>
    <n v="1119"/>
  </r>
  <r>
    <d v="2025-11-11T00:00:00"/>
    <s v="MCDONALD'S F13083"/>
    <x v="3"/>
    <s v="Sale"/>
    <n v="10.76"/>
    <x v="23"/>
    <n v="10.76"/>
    <n v="2025"/>
    <n v="11"/>
    <s v="2025-11"/>
    <d v="2025-11-11T00:00:00"/>
    <s v="Tuesday  "/>
    <x v="1"/>
    <x v="0"/>
    <n v="1128"/>
  </r>
  <r>
    <d v="2025-11-10T00:00:00"/>
    <s v="MCDONALD'S F12987"/>
    <x v="3"/>
    <s v="Sale"/>
    <n v="5.6"/>
    <x v="23"/>
    <n v="5.6"/>
    <n v="2025"/>
    <n v="11"/>
    <s v="2025-11"/>
    <d v="2025-11-10T00:00:00"/>
    <s v="Monday   "/>
    <x v="1"/>
    <x v="0"/>
    <n v="1129"/>
  </r>
  <r>
    <d v="2025-10-30T00:00:00"/>
    <s v="MCDONALD'S F12987"/>
    <x v="3"/>
    <s v="Sale"/>
    <n v="10.89"/>
    <x v="23"/>
    <n v="10.89"/>
    <n v="2025"/>
    <n v="10"/>
    <s v="2025-10"/>
    <d v="2025-10-30T00:00:00"/>
    <s v="Thursday "/>
    <x v="1"/>
    <x v="0"/>
    <n v="1130"/>
  </r>
  <r>
    <d v="2025-10-26T00:00:00"/>
    <s v="MCDONALD'S M7214"/>
    <x v="3"/>
    <s v="Sale"/>
    <n v="24.71"/>
    <x v="23"/>
    <n v="24.71"/>
    <n v="2025"/>
    <n v="10"/>
    <s v="2025-10"/>
    <d v="2025-10-26T00:00:00"/>
    <s v="Sunday   "/>
    <x v="1"/>
    <x v="0"/>
    <n v="1131"/>
  </r>
  <r>
    <d v="2025-11-28T00:00:00"/>
    <s v="AMC 6501 LAKE IN HILLS"/>
    <x v="8"/>
    <s v="Sale"/>
    <n v="11.68"/>
    <x v="163"/>
    <n v="11.68"/>
    <n v="2025"/>
    <n v="11"/>
    <s v="2025-11"/>
    <d v="2025-11-28T00:00:00"/>
    <s v="Friday   "/>
    <x v="1"/>
    <x v="0"/>
    <n v="1140"/>
  </r>
  <r>
    <d v="2025-10-13T00:00:00"/>
    <s v="EMBASSY RIVRSIDE CAFE"/>
    <x v="3"/>
    <s v="Sale"/>
    <n v="10.51"/>
    <x v="164"/>
    <n v="10.51"/>
    <n v="2025"/>
    <n v="10"/>
    <s v="2025-10"/>
    <d v="2025-10-13T00:00:00"/>
    <s v="Monday   "/>
    <x v="1"/>
    <x v="0"/>
    <n v="1143"/>
  </r>
  <r>
    <d v="2025-10-14T00:00:00"/>
    <s v="EMBASSY RIVRSIDE CAFE"/>
    <x v="3"/>
    <s v="Sale"/>
    <n v="10.5"/>
    <x v="164"/>
    <n v="10.5"/>
    <n v="2025"/>
    <n v="10"/>
    <s v="2025-10"/>
    <d v="2025-10-14T00:00:00"/>
    <s v="Tuesday  "/>
    <x v="1"/>
    <x v="0"/>
    <n v="1144"/>
  </r>
  <r>
    <d v="2025-10-13T00:00:00"/>
    <s v="LOGANS ROADHOUSE 3456"/>
    <x v="3"/>
    <s v="Sale"/>
    <n v="41.13"/>
    <x v="143"/>
    <n v="41.13"/>
    <n v="2025"/>
    <n v="10"/>
    <s v="2025-10"/>
    <d v="2025-10-13T00:00:00"/>
    <s v="Monday   "/>
    <x v="1"/>
    <x v="0"/>
    <n v="1145"/>
  </r>
  <r>
    <d v="2025-10-10T00:00:00"/>
    <s v="WENDY'S 13447"/>
    <x v="3"/>
    <s v="Sale"/>
    <n v="10.34"/>
    <x v="30"/>
    <n v="10.34"/>
    <n v="2025"/>
    <n v="10"/>
    <s v="2025-10"/>
    <d v="2025-10-10T00:00:00"/>
    <s v="Friday   "/>
    <x v="1"/>
    <x v="0"/>
    <n v="1150"/>
  </r>
  <r>
    <d v="2025-10-07T00:00:00"/>
    <s v="TACO BELL 036194"/>
    <x v="3"/>
    <s v="Sale"/>
    <n v="11.65"/>
    <x v="116"/>
    <n v="11.65"/>
    <n v="2025"/>
    <n v="10"/>
    <s v="2025-10"/>
    <d v="2025-10-07T00:00:00"/>
    <s v="Tuesday  "/>
    <x v="1"/>
    <x v="0"/>
    <n v="1152"/>
  </r>
  <r>
    <d v="2025-10-15T00:00:00"/>
    <s v="WENDYS #  13352"/>
    <x v="3"/>
    <s v="Sale"/>
    <n v="17.12"/>
    <x v="30"/>
    <n v="17.12"/>
    <n v="2025"/>
    <n v="10"/>
    <s v="2025-10"/>
    <d v="2025-10-15T00:00:00"/>
    <s v="Wednesday"/>
    <x v="1"/>
    <x v="0"/>
    <n v="1142"/>
  </r>
  <r>
    <d v="2025-10-11T00:00:00"/>
    <s v="SQ *MID-AMERICA FESTIVALS"/>
    <x v="8"/>
    <s v="Sale"/>
    <n v="9"/>
    <x v="165"/>
    <n v="9"/>
    <n v="2025"/>
    <n v="10"/>
    <s v="2025-10"/>
    <d v="2025-10-11T00:00:00"/>
    <s v="Saturday "/>
    <x v="1"/>
    <x v="0"/>
    <n v="1148"/>
  </r>
  <r>
    <d v="2025-10-11T00:00:00"/>
    <s v="SQ *LIFELINES BY FIDELE"/>
    <x v="8"/>
    <s v="Sale"/>
    <n v="62.5"/>
    <x v="166"/>
    <n v="62.5"/>
    <n v="2025"/>
    <n v="10"/>
    <s v="2025-10"/>
    <d v="2025-10-11T00:00:00"/>
    <s v="Saturday "/>
    <x v="1"/>
    <x v="0"/>
    <n v="1149"/>
  </r>
  <r>
    <d v="2025-11-20T00:00:00"/>
    <s v="SXM*SIRIUSXM.COM/ACCT"/>
    <x v="8"/>
    <s v="Sale"/>
    <n v="7.99"/>
    <x v="31"/>
    <n v="7.99"/>
    <n v="2025"/>
    <n v="11"/>
    <s v="2025-11"/>
    <d v="2025-11-20T00:00:00"/>
    <s v="Thursday "/>
    <x v="1"/>
    <x v="0"/>
    <n v="1110"/>
  </r>
  <r>
    <d v="2025-09-26T00:00:00"/>
    <s v="PANERA BREAD #204024 P"/>
    <x v="3"/>
    <s v="Sale"/>
    <n v="14.39"/>
    <x v="64"/>
    <n v="14.39"/>
    <n v="2025"/>
    <n v="9"/>
    <s v="2025-09"/>
    <d v="2025-09-26T00:00:00"/>
    <s v="Friday   "/>
    <x v="1"/>
    <x v="0"/>
    <n v="1165"/>
  </r>
  <r>
    <d v="2025-09-19T00:00:00"/>
    <s v="RUSTY NAIL SALOON"/>
    <x v="3"/>
    <s v="Sale"/>
    <n v="25.24"/>
    <x v="167"/>
    <n v="25.24"/>
    <n v="2025"/>
    <n v="9"/>
    <s v="2025-09"/>
    <d v="2025-09-19T00:00:00"/>
    <s v="Friday   "/>
    <x v="1"/>
    <x v="0"/>
    <n v="1166"/>
  </r>
  <r>
    <d v="2025-09-15T00:00:00"/>
    <s v="TACO BELL 036195"/>
    <x v="3"/>
    <s v="Sale"/>
    <n v="14.19"/>
    <x v="116"/>
    <n v="14.19"/>
    <n v="2025"/>
    <n v="9"/>
    <s v="2025-09"/>
    <d v="2025-09-15T00:00:00"/>
    <s v="Monday   "/>
    <x v="1"/>
    <x v="0"/>
    <n v="1167"/>
  </r>
  <r>
    <d v="2025-09-07T00:00:00"/>
    <s v="TACO BELL #035323"/>
    <x v="3"/>
    <s v="Sale"/>
    <n v="17.68"/>
    <x v="116"/>
    <n v="17.68"/>
    <n v="2025"/>
    <n v="9"/>
    <s v="2025-09"/>
    <d v="2025-09-07T00:00:00"/>
    <s v="Sunday   "/>
    <x v="1"/>
    <x v="0"/>
    <n v="1171"/>
  </r>
  <r>
    <d v="2025-09-08T00:00:00"/>
    <s v="PANERA BREAD #204024 P"/>
    <x v="3"/>
    <s v="Sale"/>
    <n v="18.71"/>
    <x v="64"/>
    <n v="18.71"/>
    <n v="2025"/>
    <n v="9"/>
    <s v="2025-09"/>
    <d v="2025-09-08T00:00:00"/>
    <s v="Monday   "/>
    <x v="1"/>
    <x v="0"/>
    <n v="1172"/>
  </r>
  <r>
    <d v="2025-09-07T00:00:00"/>
    <s v="WENDY'S 7008"/>
    <x v="3"/>
    <s v="Sale"/>
    <n v="8.43"/>
    <x v="30"/>
    <n v="8.43"/>
    <n v="2025"/>
    <n v="9"/>
    <s v="2025-09"/>
    <d v="2025-09-07T00:00:00"/>
    <s v="Sunday   "/>
    <x v="1"/>
    <x v="0"/>
    <n v="1173"/>
  </r>
  <r>
    <d v="2025-09-05T00:00:00"/>
    <s v="PANERA BREAD #204024 O"/>
    <x v="3"/>
    <s v="Sale"/>
    <n v="40.69"/>
    <x v="64"/>
    <n v="40.69"/>
    <n v="2025"/>
    <n v="9"/>
    <s v="2025-09"/>
    <d v="2025-09-05T00:00:00"/>
    <s v="Friday   "/>
    <x v="1"/>
    <x v="0"/>
    <n v="1174"/>
  </r>
  <r>
    <d v="2025-09-05T00:00:00"/>
    <s v="WENDY'S #0507"/>
    <x v="3"/>
    <s v="Sale"/>
    <n v="9.08"/>
    <x v="30"/>
    <n v="9.08"/>
    <n v="2025"/>
    <n v="9"/>
    <s v="2025-09"/>
    <d v="2025-09-05T00:00:00"/>
    <s v="Friday   "/>
    <x v="1"/>
    <x v="0"/>
    <n v="1176"/>
  </r>
  <r>
    <d v="2025-10-07T00:00:00"/>
    <s v="DD/BR #340391 Q35"/>
    <x v="3"/>
    <s v="Sale"/>
    <n v="6.67"/>
    <x v="4"/>
    <n v="6.67"/>
    <n v="2025"/>
    <n v="10"/>
    <s v="2025-10"/>
    <d v="2025-10-07T00:00:00"/>
    <s v="Tuesday  "/>
    <x v="1"/>
    <x v="0"/>
    <n v="1179"/>
  </r>
  <r>
    <d v="2025-10-12T00:00:00"/>
    <s v="MCDONALD'S F34643"/>
    <x v="3"/>
    <s v="Sale"/>
    <n v="4.53"/>
    <x v="23"/>
    <n v="4.53"/>
    <n v="2025"/>
    <n v="10"/>
    <s v="2025-10"/>
    <d v="2025-10-12T00:00:00"/>
    <s v="Sunday   "/>
    <x v="1"/>
    <x v="0"/>
    <n v="1180"/>
  </r>
  <r>
    <d v="2025-09-22T00:00:00"/>
    <s v="MCDONALD'S F12987"/>
    <x v="3"/>
    <s v="Sale"/>
    <n v="10.23"/>
    <x v="23"/>
    <n v="10.23"/>
    <n v="2025"/>
    <n v="9"/>
    <s v="2025-09"/>
    <d v="2025-09-22T00:00:00"/>
    <s v="Monday   "/>
    <x v="1"/>
    <x v="0"/>
    <n v="1183"/>
  </r>
  <r>
    <d v="2025-09-14T00:00:00"/>
    <s v="MCDONALD'S M7214"/>
    <x v="3"/>
    <s v="Sale"/>
    <n v="21.78"/>
    <x v="23"/>
    <n v="21.78"/>
    <n v="2025"/>
    <n v="9"/>
    <s v="2025-09"/>
    <d v="2025-09-14T00:00:00"/>
    <s v="Sunday   "/>
    <x v="1"/>
    <x v="0"/>
    <n v="1184"/>
  </r>
  <r>
    <d v="2025-09-04T00:00:00"/>
    <s v="MCDONALD'S F14738"/>
    <x v="3"/>
    <s v="Sale"/>
    <n v="13.6"/>
    <x v="23"/>
    <n v="13.6"/>
    <n v="2025"/>
    <n v="9"/>
    <s v="2025-09"/>
    <d v="2025-09-04T00:00:00"/>
    <s v="Thursday "/>
    <x v="1"/>
    <x v="0"/>
    <n v="1185"/>
  </r>
  <r>
    <d v="2025-10-03T00:00:00"/>
    <s v="CLASSIC CINEMAS WOODSTOCK"/>
    <x v="8"/>
    <s v="Sale"/>
    <n v="14.07"/>
    <x v="32"/>
    <n v="14.07"/>
    <n v="2025"/>
    <n v="10"/>
    <s v="2025-10"/>
    <d v="2025-10-03T00:00:00"/>
    <s v="Friday   "/>
    <x v="1"/>
    <x v="0"/>
    <n v="1188"/>
  </r>
  <r>
    <d v="2025-10-03T00:00:00"/>
    <s v="CLASSIC CINEMAS WOODSTOCK"/>
    <x v="8"/>
    <s v="Sale"/>
    <n v="21"/>
    <x v="32"/>
    <n v="21"/>
    <n v="2025"/>
    <n v="10"/>
    <s v="2025-10"/>
    <d v="2025-10-03T00:00:00"/>
    <s v="Friday   "/>
    <x v="1"/>
    <x v="0"/>
    <n v="1189"/>
  </r>
  <r>
    <d v="2025-09-01T00:00:00"/>
    <s v="CLASSIC CINEMAS WOODSTOCK"/>
    <x v="8"/>
    <s v="Sale"/>
    <n v="25.5"/>
    <x v="32"/>
    <n v="25.5"/>
    <n v="2025"/>
    <n v="9"/>
    <s v="2025-09"/>
    <d v="2025-09-01T00:00:00"/>
    <s v="Monday   "/>
    <x v="1"/>
    <x v="0"/>
    <n v="1190"/>
  </r>
  <r>
    <d v="2025-09-01T00:00:00"/>
    <s v="CLASSIC CINEMAS WOODSTOCK"/>
    <x v="8"/>
    <s v="Sale"/>
    <n v="26.52"/>
    <x v="32"/>
    <n v="26.52"/>
    <n v="2025"/>
    <n v="9"/>
    <s v="2025-09"/>
    <d v="2025-09-01T00:00:00"/>
    <s v="Monday   "/>
    <x v="1"/>
    <x v="0"/>
    <n v="1191"/>
  </r>
  <r>
    <d v="2025-09-01T00:00:00"/>
    <s v="DOMINO'S 2946"/>
    <x v="3"/>
    <s v="Sale"/>
    <n v="39.659999999999997"/>
    <x v="35"/>
    <n v="39.659999999999997"/>
    <n v="2025"/>
    <n v="9"/>
    <s v="2025-09"/>
    <d v="2025-09-01T00:00:00"/>
    <s v="Monday   "/>
    <x v="1"/>
    <x v="0"/>
    <n v="1194"/>
  </r>
  <r>
    <d v="2025-08-23T00:00:00"/>
    <s v="TACO BELL 036194"/>
    <x v="3"/>
    <s v="Sale"/>
    <n v="14.13"/>
    <x v="116"/>
    <n v="14.13"/>
    <n v="2025"/>
    <n v="8"/>
    <s v="2025-08"/>
    <d v="2025-08-23T00:00:00"/>
    <s v="Saturday "/>
    <x v="1"/>
    <x v="0"/>
    <n v="1200"/>
  </r>
  <r>
    <d v="2025-08-21T00:00:00"/>
    <s v="TACO BELL 036194"/>
    <x v="3"/>
    <s v="Sale"/>
    <n v="17.36"/>
    <x v="116"/>
    <n v="17.36"/>
    <n v="2025"/>
    <n v="8"/>
    <s v="2025-08"/>
    <d v="2025-08-21T00:00:00"/>
    <s v="Thursday "/>
    <x v="1"/>
    <x v="0"/>
    <n v="1201"/>
  </r>
  <r>
    <d v="2025-08-21T00:00:00"/>
    <s v="PANERA BREAD #204024 P"/>
    <x v="3"/>
    <s v="Sale"/>
    <n v="15.87"/>
    <x v="64"/>
    <n v="15.87"/>
    <n v="2025"/>
    <n v="8"/>
    <s v="2025-08"/>
    <d v="2025-08-21T00:00:00"/>
    <s v="Thursday "/>
    <x v="1"/>
    <x v="0"/>
    <n v="1202"/>
  </r>
  <r>
    <d v="2025-08-16T00:00:00"/>
    <s v="TACO BELL 036194"/>
    <x v="3"/>
    <s v="Sale"/>
    <n v="8.6300000000000008"/>
    <x v="116"/>
    <n v="8.6300000000000008"/>
    <n v="2025"/>
    <n v="8"/>
    <s v="2025-08"/>
    <d v="2025-08-16T00:00:00"/>
    <s v="Saturday "/>
    <x v="1"/>
    <x v="0"/>
    <n v="1204"/>
  </r>
  <r>
    <d v="2025-08-12T00:00:00"/>
    <s v="CTLP*MEDALLION MINT LL"/>
    <x v="3"/>
    <s v="Sale"/>
    <n v="15"/>
    <x v="168"/>
    <n v="15"/>
    <n v="2025"/>
    <n v="8"/>
    <s v="2025-08"/>
    <d v="2025-08-12T00:00:00"/>
    <s v="Tuesday  "/>
    <x v="1"/>
    <x v="0"/>
    <n v="1209"/>
  </r>
  <r>
    <d v="2025-08-11T00:00:00"/>
    <s v="GEORGIAAQUARIUMECOM"/>
    <x v="8"/>
    <s v="Sale"/>
    <n v="87.05"/>
    <x v="122"/>
    <n v="87.05"/>
    <n v="2025"/>
    <n v="8"/>
    <s v="2025-08"/>
    <d v="2025-08-11T00:00:00"/>
    <s v="Monday   "/>
    <x v="1"/>
    <x v="0"/>
    <n v="1215"/>
  </r>
  <r>
    <d v="2025-08-10T00:00:00"/>
    <s v="GEORGIAAQUARIUMECOM"/>
    <x v="8"/>
    <s v="Return"/>
    <n v="-20.69"/>
    <x v="122"/>
    <n v="20.69"/>
    <n v="2025"/>
    <n v="8"/>
    <s v="2025-08"/>
    <d v="2025-08-10T00:00:00"/>
    <s v="Sunday   "/>
    <x v="0"/>
    <x v="0"/>
    <n v="1217"/>
  </r>
  <r>
    <d v="2025-08-10T00:00:00"/>
    <s v="GEORGIAAQUARIUMECOM"/>
    <x v="8"/>
    <s v="Return"/>
    <n v="-10.88"/>
    <x v="122"/>
    <n v="10.88"/>
    <n v="2025"/>
    <n v="8"/>
    <s v="2025-08"/>
    <d v="2025-08-10T00:00:00"/>
    <s v="Sunday   "/>
    <x v="0"/>
    <x v="0"/>
    <n v="1218"/>
  </r>
  <r>
    <d v="2025-08-04T00:00:00"/>
    <s v="GEORGIAAQUARIUMECOM"/>
    <x v="8"/>
    <s v="Sale"/>
    <n v="176.4"/>
    <x v="122"/>
    <n v="176.4"/>
    <n v="2025"/>
    <n v="8"/>
    <s v="2025-08"/>
    <d v="2025-08-04T00:00:00"/>
    <s v="Monday   "/>
    <x v="1"/>
    <x v="0"/>
    <n v="1223"/>
  </r>
  <r>
    <d v="2025-07-30T00:00:00"/>
    <s v="TACO BELL 036194"/>
    <x v="3"/>
    <s v="Sale"/>
    <n v="5.4"/>
    <x v="116"/>
    <n v="5.4"/>
    <n v="2025"/>
    <n v="7"/>
    <s v="2025-07"/>
    <d v="2025-07-30T00:00:00"/>
    <s v="Wednesday"/>
    <x v="1"/>
    <x v="0"/>
    <n v="1224"/>
  </r>
  <r>
    <d v="2025-07-29T00:00:00"/>
    <s v="DNCSS AM FAM FIELD CON"/>
    <x v="3"/>
    <s v="Sale"/>
    <n v="10.72"/>
    <x v="169"/>
    <n v="10.72"/>
    <n v="2025"/>
    <n v="7"/>
    <s v="2025-07"/>
    <d v="2025-07-29T00:00:00"/>
    <s v="Tuesday  "/>
    <x v="1"/>
    <x v="0"/>
    <n v="1227"/>
  </r>
  <r>
    <d v="2025-07-27T00:00:00"/>
    <s v="TACO BELL #035323"/>
    <x v="3"/>
    <s v="Sale"/>
    <n v="17.68"/>
    <x v="116"/>
    <n v="17.68"/>
    <n v="2025"/>
    <n v="7"/>
    <s v="2025-07"/>
    <d v="2025-07-27T00:00:00"/>
    <s v="Sunday   "/>
    <x v="1"/>
    <x v="0"/>
    <n v="1228"/>
  </r>
  <r>
    <d v="2025-07-24T00:00:00"/>
    <s v="PANERA BREAD #204024 P"/>
    <x v="3"/>
    <s v="Sale"/>
    <n v="19.12"/>
    <x v="64"/>
    <n v="19.12"/>
    <n v="2025"/>
    <n v="7"/>
    <s v="2025-07"/>
    <d v="2025-07-24T00:00:00"/>
    <s v="Thursday "/>
    <x v="1"/>
    <x v="0"/>
    <n v="1229"/>
  </r>
  <r>
    <d v="2025-07-19T00:00:00"/>
    <s v="COUNTRYDONUTS"/>
    <x v="3"/>
    <s v="Sale"/>
    <n v="15.87"/>
    <x v="170"/>
    <n v="15.87"/>
    <n v="2025"/>
    <n v="7"/>
    <s v="2025-07"/>
    <d v="2025-07-19T00:00:00"/>
    <s v="Saturday "/>
    <x v="1"/>
    <x v="0"/>
    <n v="1231"/>
  </r>
  <r>
    <d v="2025-07-20T00:00:00"/>
    <s v="MLB*BREWERS TICKETS"/>
    <x v="8"/>
    <s v="Sale"/>
    <n v="159"/>
    <x v="153"/>
    <n v="159"/>
    <n v="2025"/>
    <n v="7"/>
    <s v="2025-07"/>
    <d v="2025-07-20T00:00:00"/>
    <s v="Sunday   "/>
    <x v="1"/>
    <x v="0"/>
    <n v="1233"/>
  </r>
  <r>
    <d v="2025-07-18T00:00:00"/>
    <s v="NATIONAL ENTERTAINMENT N"/>
    <x v="8"/>
    <s v="Sale"/>
    <n v="30"/>
    <x v="171"/>
    <n v="30"/>
    <n v="2025"/>
    <n v="7"/>
    <s v="2025-07"/>
    <d v="2025-07-18T00:00:00"/>
    <s v="Friday   "/>
    <x v="1"/>
    <x v="0"/>
    <n v="1234"/>
  </r>
  <r>
    <d v="2025-07-17T00:00:00"/>
    <s v="WENDY'S #0507"/>
    <x v="3"/>
    <s v="Sale"/>
    <n v="8.27"/>
    <x v="30"/>
    <n v="8.27"/>
    <n v="2025"/>
    <n v="7"/>
    <s v="2025-07"/>
    <d v="2025-07-17T00:00:00"/>
    <s v="Thursday "/>
    <x v="1"/>
    <x v="0"/>
    <n v="1236"/>
  </r>
  <r>
    <d v="2025-07-16T00:00:00"/>
    <s v="GEORGIAAQUARIUMECOM"/>
    <x v="8"/>
    <s v="Sale"/>
    <n v="230.84"/>
    <x v="122"/>
    <n v="230.84"/>
    <n v="2025"/>
    <n v="7"/>
    <s v="2025-07"/>
    <d v="2025-07-16T00:00:00"/>
    <s v="Wednesday"/>
    <x v="1"/>
    <x v="0"/>
    <n v="1238"/>
  </r>
  <r>
    <d v="2025-07-14T00:00:00"/>
    <s v="GEORGIAAQUARIUMECOM"/>
    <x v="8"/>
    <s v="Sale"/>
    <n v="420"/>
    <x v="122"/>
    <n v="420"/>
    <n v="2025"/>
    <n v="7"/>
    <s v="2025-07"/>
    <d v="2025-07-14T00:00:00"/>
    <s v="Monday   "/>
    <x v="1"/>
    <x v="0"/>
    <n v="1239"/>
  </r>
  <r>
    <d v="2025-07-21T00:00:00"/>
    <s v="TCKTWEB*ROBSCHNEIDER"/>
    <x v="8"/>
    <s v="Sale"/>
    <n v="105.24"/>
    <x v="172"/>
    <n v="105.24"/>
    <n v="2025"/>
    <n v="7"/>
    <s v="2025-07"/>
    <d v="2025-07-21T00:00:00"/>
    <s v="Monday   "/>
    <x v="1"/>
    <x v="0"/>
    <n v="1232"/>
  </r>
  <r>
    <d v="2025-09-28T00:00:00"/>
    <s v="WENDYS #  13352"/>
    <x v="3"/>
    <s v="Sale"/>
    <n v="20.75"/>
    <x v="30"/>
    <n v="20.75"/>
    <n v="2025"/>
    <n v="9"/>
    <s v="2025-09"/>
    <d v="2025-09-28T00:00:00"/>
    <s v="Sunday   "/>
    <x v="1"/>
    <x v="0"/>
    <n v="1163"/>
  </r>
  <r>
    <d v="2025-10-04T00:00:00"/>
    <s v="SQ *STAMP ICE"/>
    <x v="3"/>
    <s v="Sale"/>
    <n v="6"/>
    <x v="173"/>
    <n v="6"/>
    <n v="2025"/>
    <n v="10"/>
    <s v="2025-10"/>
    <d v="2025-10-04T00:00:00"/>
    <s v="Saturday "/>
    <x v="1"/>
    <x v="0"/>
    <n v="1161"/>
  </r>
  <r>
    <d v="2025-08-05T00:00:00"/>
    <s v="SQ *MY FUNNEL TRUCK LLC"/>
    <x v="3"/>
    <s v="Sale"/>
    <n v="9"/>
    <x v="174"/>
    <n v="9"/>
    <n v="2025"/>
    <n v="8"/>
    <s v="2025-08"/>
    <d v="2025-08-05T00:00:00"/>
    <s v="Tuesday  "/>
    <x v="1"/>
    <x v="0"/>
    <n v="1219"/>
  </r>
  <r>
    <d v="2025-10-20T00:00:00"/>
    <s v="SXM*SIRIUSXM.COM/ACCT"/>
    <x v="8"/>
    <s v="Sale"/>
    <n v="7.99"/>
    <x v="31"/>
    <n v="7.99"/>
    <n v="2025"/>
    <n v="10"/>
    <s v="2025-10"/>
    <d v="2025-10-20T00:00:00"/>
    <s v="Monday   "/>
    <x v="1"/>
    <x v="0"/>
    <n v="1182"/>
  </r>
  <r>
    <d v="2025-07-17T00:00:00"/>
    <s v="MCDONALD'S F19354"/>
    <x v="3"/>
    <s v="Sale"/>
    <n v="20.53"/>
    <x v="23"/>
    <n v="20.53"/>
    <n v="2025"/>
    <n v="7"/>
    <s v="2025-07"/>
    <d v="2025-07-17T00:00:00"/>
    <s v="Thursday "/>
    <x v="1"/>
    <x v="0"/>
    <n v="1252"/>
  </r>
  <r>
    <d v="2025-07-18T00:00:00"/>
    <s v="DOMINO'S 2786"/>
    <x v="3"/>
    <s v="Sale"/>
    <n v="28.13"/>
    <x v="35"/>
    <n v="28.13"/>
    <n v="2025"/>
    <n v="7"/>
    <s v="2025-07"/>
    <d v="2025-07-18T00:00:00"/>
    <s v="Friday   "/>
    <x v="1"/>
    <x v="0"/>
    <n v="1257"/>
  </r>
  <r>
    <d v="2025-07-09T00:00:00"/>
    <s v="TACO BELL 036195"/>
    <x v="3"/>
    <s v="Sale"/>
    <n v="14.19"/>
    <x v="116"/>
    <n v="14.19"/>
    <n v="2025"/>
    <n v="7"/>
    <s v="2025-07"/>
    <d v="2025-07-09T00:00:00"/>
    <s v="Wednesday"/>
    <x v="1"/>
    <x v="0"/>
    <n v="1261"/>
  </r>
  <r>
    <d v="2025-07-08T00:00:00"/>
    <s v="TWIN PEAKS - ALGONQUIN"/>
    <x v="3"/>
    <s v="Sale"/>
    <n v="38.83"/>
    <x v="175"/>
    <n v="38.83"/>
    <n v="2025"/>
    <n v="7"/>
    <s v="2025-07"/>
    <d v="2025-07-08T00:00:00"/>
    <s v="Tuesday  "/>
    <x v="1"/>
    <x v="0"/>
    <n v="1262"/>
  </r>
  <r>
    <d v="2025-07-04T00:00:00"/>
    <s v="BOOMERSBAS* BOOMERSBAS"/>
    <x v="8"/>
    <s v="Sale"/>
    <n v="84.12"/>
    <x v="176"/>
    <n v="84.12"/>
    <n v="2025"/>
    <n v="7"/>
    <s v="2025-07"/>
    <d v="2025-07-04T00:00:00"/>
    <s v="Friday   "/>
    <x v="1"/>
    <x v="0"/>
    <n v="1263"/>
  </r>
  <r>
    <d v="2025-07-06T00:00:00"/>
    <s v="TOMMYS RED HOTS"/>
    <x v="3"/>
    <s v="Sale"/>
    <n v="22.48"/>
    <x v="144"/>
    <n v="22.48"/>
    <n v="2025"/>
    <n v="7"/>
    <s v="2025-07"/>
    <d v="2025-07-06T00:00:00"/>
    <s v="Sunday   "/>
    <x v="1"/>
    <x v="0"/>
    <n v="1265"/>
  </r>
  <r>
    <d v="2025-07-07T00:00:00"/>
    <s v="DAIRY QUEEN #19447"/>
    <x v="3"/>
    <s v="Sale"/>
    <n v="11.13"/>
    <x v="177"/>
    <n v="11.13"/>
    <n v="2025"/>
    <n v="7"/>
    <s v="2025-07"/>
    <d v="2025-07-07T00:00:00"/>
    <s v="Monday   "/>
    <x v="1"/>
    <x v="0"/>
    <n v="1266"/>
  </r>
  <r>
    <d v="2025-07-03T00:00:00"/>
    <s v="TACO BELL #035323"/>
    <x v="3"/>
    <s v="Sale"/>
    <n v="14.49"/>
    <x v="116"/>
    <n v="14.49"/>
    <n v="2025"/>
    <n v="7"/>
    <s v="2025-07"/>
    <d v="2025-07-03T00:00:00"/>
    <s v="Thursday "/>
    <x v="1"/>
    <x v="0"/>
    <n v="1268"/>
  </r>
  <r>
    <d v="2025-06-19T00:00:00"/>
    <s v="STAMPEDE PIRATE HATFIELD"/>
    <x v="8"/>
    <s v="Sale"/>
    <n v="145.84"/>
    <x v="178"/>
    <n v="145.84"/>
    <n v="2025"/>
    <n v="6"/>
    <s v="2025-06"/>
    <d v="2025-06-19T00:00:00"/>
    <s v="Thursday "/>
    <x v="1"/>
    <x v="0"/>
    <n v="1271"/>
  </r>
  <r>
    <d v="2025-07-01T00:00:00"/>
    <s v="PANERA BREAD #204024 P"/>
    <x v="3"/>
    <s v="Sale"/>
    <n v="14.48"/>
    <x v="64"/>
    <n v="14.48"/>
    <n v="2025"/>
    <n v="7"/>
    <s v="2025-07"/>
    <d v="2025-07-01T00:00:00"/>
    <s v="Tuesday  "/>
    <x v="1"/>
    <x v="0"/>
    <n v="1273"/>
  </r>
  <r>
    <d v="2025-06-23T00:00:00"/>
    <s v="TACO BELL 036195"/>
    <x v="3"/>
    <s v="Sale"/>
    <n v="10.5"/>
    <x v="116"/>
    <n v="10.5"/>
    <n v="2025"/>
    <n v="6"/>
    <s v="2025-06"/>
    <d v="2025-06-23T00:00:00"/>
    <s v="Monday   "/>
    <x v="1"/>
    <x v="0"/>
    <n v="1275"/>
  </r>
  <r>
    <d v="2025-06-18T00:00:00"/>
    <s v="IHOP #3209"/>
    <x v="3"/>
    <s v="Sale"/>
    <n v="46.3"/>
    <x v="179"/>
    <n v="46.3"/>
    <n v="2025"/>
    <n v="6"/>
    <s v="2025-06"/>
    <d v="2025-06-18T00:00:00"/>
    <s v="Wednesday"/>
    <x v="1"/>
    <x v="0"/>
    <n v="1277"/>
  </r>
  <r>
    <d v="2025-06-18T00:00:00"/>
    <s v="CRAZY CRAIGS TREEHOUSE"/>
    <x v="3"/>
    <s v="Sale"/>
    <n v="72.11"/>
    <x v="180"/>
    <n v="72.11"/>
    <n v="2025"/>
    <n v="6"/>
    <s v="2025-06"/>
    <d v="2025-06-18T00:00:00"/>
    <s v="Wednesday"/>
    <x v="1"/>
    <x v="0"/>
    <n v="1278"/>
  </r>
  <r>
    <d v="2025-06-16T00:00:00"/>
    <s v="BINNYS BEV DEPOT 41"/>
    <x v="3"/>
    <s v="Sale"/>
    <n v="30.36"/>
    <x v="181"/>
    <n v="30.36"/>
    <n v="2025"/>
    <n v="6"/>
    <s v="2025-06"/>
    <d v="2025-06-16T00:00:00"/>
    <s v="Monday   "/>
    <x v="1"/>
    <x v="0"/>
    <n v="1281"/>
  </r>
  <r>
    <d v="2025-06-13T00:00:00"/>
    <s v="OLIVE GARDEN ZK 0021784"/>
    <x v="3"/>
    <s v="Sale"/>
    <n v="53.4"/>
    <x v="182"/>
    <n v="53.4"/>
    <n v="2025"/>
    <n v="6"/>
    <s v="2025-06"/>
    <d v="2025-06-13T00:00:00"/>
    <s v="Friday   "/>
    <x v="1"/>
    <x v="0"/>
    <n v="1283"/>
  </r>
  <r>
    <d v="2025-06-11T00:00:00"/>
    <s v="JIMMY JOHNS - 0585 - ECOM"/>
    <x v="3"/>
    <s v="Sale"/>
    <n v="20.04"/>
    <x v="36"/>
    <n v="20.04"/>
    <n v="2025"/>
    <n v="6"/>
    <s v="2025-06"/>
    <d v="2025-06-11T00:00:00"/>
    <s v="Wednesday"/>
    <x v="1"/>
    <x v="0"/>
    <n v="1286"/>
  </r>
  <r>
    <d v="2025-06-07T00:00:00"/>
    <s v="JIMMY JOHNS - 967 - ECOMM"/>
    <x v="3"/>
    <s v="Sale"/>
    <n v="99.22"/>
    <x v="36"/>
    <n v="99.22"/>
    <n v="2025"/>
    <n v="6"/>
    <s v="2025-06"/>
    <d v="2025-06-07T00:00:00"/>
    <s v="Saturday "/>
    <x v="1"/>
    <x v="0"/>
    <n v="1288"/>
  </r>
  <r>
    <d v="2025-06-02T00:00:00"/>
    <s v="JIMMY JOHNS - 0585 - ECOM"/>
    <x v="3"/>
    <s v="Sale"/>
    <n v="22.62"/>
    <x v="36"/>
    <n v="22.62"/>
    <n v="2025"/>
    <n v="6"/>
    <s v="2025-06"/>
    <d v="2025-06-02T00:00:00"/>
    <s v="Monday   "/>
    <x v="1"/>
    <x v="0"/>
    <n v="1289"/>
  </r>
  <r>
    <d v="2025-07-06T00:00:00"/>
    <s v="MCDONALD'S F34643"/>
    <x v="3"/>
    <s v="Sale"/>
    <n v="10.57"/>
    <x v="23"/>
    <n v="10.57"/>
    <n v="2025"/>
    <n v="7"/>
    <s v="2025-07"/>
    <d v="2025-07-06T00:00:00"/>
    <s v="Sunday   "/>
    <x v="1"/>
    <x v="0"/>
    <n v="1290"/>
  </r>
  <r>
    <d v="2025-06-08T00:00:00"/>
    <s v="CLASSIC CINEMAS WOODSTOCK"/>
    <x v="8"/>
    <s v="Sale"/>
    <n v="25.5"/>
    <x v="32"/>
    <n v="25.5"/>
    <n v="2025"/>
    <n v="6"/>
    <s v="2025-06"/>
    <d v="2025-06-08T00:00:00"/>
    <s v="Sunday   "/>
    <x v="1"/>
    <x v="0"/>
    <n v="1291"/>
  </r>
  <r>
    <d v="2025-06-08T00:00:00"/>
    <s v="CLASSIC CINEMAS WOODSTOCK"/>
    <x v="8"/>
    <s v="Sale"/>
    <n v="23.82"/>
    <x v="32"/>
    <n v="23.82"/>
    <n v="2025"/>
    <n v="6"/>
    <s v="2025-06"/>
    <d v="2025-06-08T00:00:00"/>
    <s v="Sunday   "/>
    <x v="1"/>
    <x v="0"/>
    <n v="1292"/>
  </r>
  <r>
    <d v="2025-07-04T00:00:00"/>
    <s v="MCDONALD'S F12987"/>
    <x v="3"/>
    <s v="Sale"/>
    <n v="5.49"/>
    <x v="23"/>
    <n v="5.49"/>
    <n v="2025"/>
    <n v="7"/>
    <s v="2025-07"/>
    <d v="2025-07-04T00:00:00"/>
    <s v="Friday   "/>
    <x v="1"/>
    <x v="0"/>
    <n v="1297"/>
  </r>
  <r>
    <d v="2025-06-28T00:00:00"/>
    <s v="MCDONALD'S F3488"/>
    <x v="3"/>
    <s v="Sale"/>
    <n v="9.61"/>
    <x v="23"/>
    <n v="9.61"/>
    <n v="2025"/>
    <n v="6"/>
    <s v="2025-06"/>
    <d v="2025-06-28T00:00:00"/>
    <s v="Saturday "/>
    <x v="1"/>
    <x v="0"/>
    <n v="1298"/>
  </r>
  <r>
    <d v="2025-06-15T00:00:00"/>
    <s v="MCDONALD'S M7214"/>
    <x v="3"/>
    <s v="Sale"/>
    <n v="16.670000000000002"/>
    <x v="23"/>
    <n v="16.670000000000002"/>
    <n v="2025"/>
    <n v="6"/>
    <s v="2025-06"/>
    <d v="2025-06-15T00:00:00"/>
    <s v="Sunday   "/>
    <x v="1"/>
    <x v="0"/>
    <n v="1299"/>
  </r>
  <r>
    <d v="2025-06-14T00:00:00"/>
    <s v="MCDONALD'S F14021"/>
    <x v="3"/>
    <s v="Sale"/>
    <n v="13.31"/>
    <x v="23"/>
    <n v="13.31"/>
    <n v="2025"/>
    <n v="6"/>
    <s v="2025-06"/>
    <d v="2025-06-14T00:00:00"/>
    <s v="Saturday "/>
    <x v="1"/>
    <x v="0"/>
    <n v="1300"/>
  </r>
  <r>
    <d v="2025-06-11T00:00:00"/>
    <s v="MCDONALD'S F3488"/>
    <x v="3"/>
    <s v="Sale"/>
    <n v="8.32"/>
    <x v="23"/>
    <n v="8.32"/>
    <n v="2025"/>
    <n v="6"/>
    <s v="2025-06"/>
    <d v="2025-06-11T00:00:00"/>
    <s v="Wednesday"/>
    <x v="1"/>
    <x v="0"/>
    <n v="1301"/>
  </r>
  <r>
    <d v="2025-06-19T00:00:00"/>
    <s v="TOUR* BRANSON DUCK TOU"/>
    <x v="8"/>
    <s v="Sale"/>
    <n v="96.26"/>
    <x v="183"/>
    <n v="96.26"/>
    <n v="2025"/>
    <n v="6"/>
    <s v="2025-06"/>
    <d v="2025-06-19T00:00:00"/>
    <s v="Thursday "/>
    <x v="1"/>
    <x v="0"/>
    <n v="1270"/>
  </r>
  <r>
    <d v="2025-06-08T00:00:00"/>
    <s v="MCDONALD'S M7214"/>
    <x v="3"/>
    <s v="Sale"/>
    <n v="20.69"/>
    <x v="23"/>
    <n v="20.69"/>
    <n v="2025"/>
    <n v="6"/>
    <s v="2025-06"/>
    <d v="2025-06-08T00:00:00"/>
    <s v="Sunday   "/>
    <x v="1"/>
    <x v="0"/>
    <n v="1306"/>
  </r>
  <r>
    <d v="2025-06-01T00:00:00"/>
    <s v="MCDONALD'S F34643"/>
    <x v="3"/>
    <s v="Sale"/>
    <n v="10.35"/>
    <x v="23"/>
    <n v="10.35"/>
    <n v="2025"/>
    <n v="6"/>
    <s v="2025-06"/>
    <d v="2025-06-01T00:00:00"/>
    <s v="Sunday   "/>
    <x v="1"/>
    <x v="0"/>
    <n v="1307"/>
  </r>
  <r>
    <d v="2025-05-21T00:00:00"/>
    <s v="JIMMY JOHNS - 0585 - ECOM"/>
    <x v="3"/>
    <s v="Sale"/>
    <n v="22.62"/>
    <x v="36"/>
    <n v="22.62"/>
    <n v="2025"/>
    <n v="5"/>
    <s v="2025-05"/>
    <d v="2025-05-21T00:00:00"/>
    <s v="Wednesday"/>
    <x v="1"/>
    <x v="0"/>
    <n v="1317"/>
  </r>
  <r>
    <d v="2025-05-19T00:00:00"/>
    <s v="WALNUT SPEAKEASY"/>
    <x v="3"/>
    <s v="Sale"/>
    <n v="27.38"/>
    <x v="184"/>
    <n v="27.38"/>
    <n v="2025"/>
    <n v="5"/>
    <s v="2025-05"/>
    <d v="2025-05-19T00:00:00"/>
    <s v="Monday   "/>
    <x v="1"/>
    <x v="0"/>
    <n v="1319"/>
  </r>
  <r>
    <d v="2025-05-20T00:00:00"/>
    <s v="TACO BELL #4752"/>
    <x v="3"/>
    <s v="Sale"/>
    <n v="8"/>
    <x v="116"/>
    <n v="8"/>
    <n v="2025"/>
    <n v="5"/>
    <s v="2025-05"/>
    <d v="2025-05-20T00:00:00"/>
    <s v="Tuesday  "/>
    <x v="1"/>
    <x v="0"/>
    <n v="1322"/>
  </r>
  <r>
    <d v="2025-05-16T00:00:00"/>
    <s v="JIMMY JOHNS - 0585 - ECOM"/>
    <x v="3"/>
    <s v="Sale"/>
    <n v="20.04"/>
    <x v="36"/>
    <n v="20.04"/>
    <n v="2025"/>
    <n v="5"/>
    <s v="2025-05"/>
    <d v="2025-05-16T00:00:00"/>
    <s v="Friday   "/>
    <x v="1"/>
    <x v="0"/>
    <n v="1323"/>
  </r>
  <r>
    <d v="2025-06-20T00:00:00"/>
    <s v="FH* SHEPERD OF THE HIL"/>
    <x v="8"/>
    <s v="Sale"/>
    <n v="267.37"/>
    <x v="185"/>
    <n v="267.37"/>
    <n v="2025"/>
    <n v="6"/>
    <s v="2025-06"/>
    <d v="2025-06-20T00:00:00"/>
    <s v="Friday   "/>
    <x v="1"/>
    <x v="0"/>
    <n v="1272"/>
  </r>
  <r>
    <d v="2025-06-03T00:00:00"/>
    <s v="TCKTWEB*STEVEO"/>
    <x v="8"/>
    <s v="Sale"/>
    <n v="79.540000000000006"/>
    <x v="186"/>
    <n v="79.540000000000006"/>
    <n v="2025"/>
    <n v="6"/>
    <s v="2025-06"/>
    <d v="2025-06-03T00:00:00"/>
    <s v="Tuesday  "/>
    <x v="1"/>
    <x v="0"/>
    <n v="1282"/>
  </r>
  <r>
    <d v="2025-07-15T00:00:00"/>
    <s v="SQ *BROTHERS' BBQ FOOD TR"/>
    <x v="3"/>
    <s v="Sale"/>
    <n v="10.7"/>
    <x v="187"/>
    <n v="10.7"/>
    <n v="2025"/>
    <n v="7"/>
    <s v="2025-07"/>
    <d v="2025-07-15T00:00:00"/>
    <s v="Tuesday  "/>
    <x v="1"/>
    <x v="0"/>
    <n v="1255"/>
  </r>
  <r>
    <d v="2025-07-15T00:00:00"/>
    <s v="SQ *MY FUNNEL TRUCK LLC"/>
    <x v="3"/>
    <s v="Sale"/>
    <n v="9"/>
    <x v="174"/>
    <n v="9"/>
    <n v="2025"/>
    <n v="7"/>
    <s v="2025-07"/>
    <d v="2025-07-15T00:00:00"/>
    <s v="Tuesday  "/>
    <x v="1"/>
    <x v="0"/>
    <n v="1242"/>
  </r>
  <r>
    <d v="2025-06-28T00:00:00"/>
    <s v="SQ *KONA ICE OF MCHENRY C"/>
    <x v="3"/>
    <s v="Sale"/>
    <n v="8"/>
    <x v="188"/>
    <n v="8"/>
    <n v="2025"/>
    <n v="6"/>
    <s v="2025-06"/>
    <d v="2025-06-28T00:00:00"/>
    <s v="Saturday "/>
    <x v="1"/>
    <x v="0"/>
    <n v="1274"/>
  </r>
  <r>
    <d v="2025-05-10T00:00:00"/>
    <s v="TDC*CHICAGO DOGS I"/>
    <x v="8"/>
    <s v="Sale"/>
    <n v="97.5"/>
    <x v="189"/>
    <n v="97.5"/>
    <n v="2025"/>
    <n v="5"/>
    <s v="2025-05"/>
    <d v="2025-05-10T00:00:00"/>
    <s v="Saturday "/>
    <x v="1"/>
    <x v="0"/>
    <n v="1316"/>
  </r>
  <r>
    <d v="2025-05-30T00:00:00"/>
    <s v="FOX VALLEY WINERY"/>
    <x v="3"/>
    <s v="Sale"/>
    <n v="20.79"/>
    <x v="190"/>
    <n v="20.79"/>
    <n v="2025"/>
    <n v="5"/>
    <s v="2025-05"/>
    <d v="2025-05-30T00:00:00"/>
    <s v="Friday   "/>
    <x v="1"/>
    <x v="0"/>
    <n v="1285"/>
  </r>
  <r>
    <d v="2025-05-03T00:00:00"/>
    <s v="TACO BELL #26749"/>
    <x v="3"/>
    <s v="Sale"/>
    <n v="18.41"/>
    <x v="116"/>
    <n v="18.41"/>
    <n v="2025"/>
    <n v="5"/>
    <s v="2025-05"/>
    <d v="2025-05-03T00:00:00"/>
    <s v="Saturday "/>
    <x v="1"/>
    <x v="0"/>
    <n v="1339"/>
  </r>
  <r>
    <d v="2025-05-24T00:00:00"/>
    <s v="MCDONALD'S M7214"/>
    <x v="3"/>
    <s v="Sale"/>
    <n v="1.93"/>
    <x v="23"/>
    <n v="1.93"/>
    <n v="2025"/>
    <n v="5"/>
    <s v="2025-05"/>
    <d v="2025-05-24T00:00:00"/>
    <s v="Saturday "/>
    <x v="1"/>
    <x v="0"/>
    <n v="1342"/>
  </r>
  <r>
    <d v="2025-05-24T00:00:00"/>
    <s v="MCDONALD'S F14021"/>
    <x v="3"/>
    <s v="Sale"/>
    <n v="10.73"/>
    <x v="23"/>
    <n v="10.73"/>
    <n v="2025"/>
    <n v="5"/>
    <s v="2025-05"/>
    <d v="2025-05-24T00:00:00"/>
    <s v="Saturday "/>
    <x v="1"/>
    <x v="0"/>
    <n v="1343"/>
  </r>
  <r>
    <d v="2025-05-21T00:00:00"/>
    <s v="MCDONALD'S F3488"/>
    <x v="3"/>
    <s v="Sale"/>
    <n v="7.67"/>
    <x v="23"/>
    <n v="7.67"/>
    <n v="2025"/>
    <n v="5"/>
    <s v="2025-05"/>
    <d v="2025-05-21T00:00:00"/>
    <s v="Wednesday"/>
    <x v="1"/>
    <x v="0"/>
    <n v="1351"/>
  </r>
  <r>
    <d v="2025-05-18T00:00:00"/>
    <s v="MCDONALD'S F34643"/>
    <x v="3"/>
    <s v="Sale"/>
    <n v="7.66"/>
    <x v="23"/>
    <n v="7.66"/>
    <n v="2025"/>
    <n v="5"/>
    <s v="2025-05"/>
    <d v="2025-05-18T00:00:00"/>
    <s v="Sunday   "/>
    <x v="1"/>
    <x v="0"/>
    <n v="1352"/>
  </r>
  <r>
    <d v="2025-05-12T00:00:00"/>
    <s v="MCDONALD'S F3488"/>
    <x v="3"/>
    <s v="Sale"/>
    <n v="5.08"/>
    <x v="23"/>
    <n v="5.08"/>
    <n v="2025"/>
    <n v="5"/>
    <s v="2025-05"/>
    <d v="2025-05-12T00:00:00"/>
    <s v="Monday   "/>
    <x v="1"/>
    <x v="0"/>
    <n v="1353"/>
  </r>
  <r>
    <d v="2025-05-12T00:00:00"/>
    <s v="MCDONALD'S F14021"/>
    <x v="3"/>
    <s v="Sale"/>
    <n v="8.32"/>
    <x v="23"/>
    <n v="8.32"/>
    <n v="2025"/>
    <n v="5"/>
    <s v="2025-05"/>
    <d v="2025-05-12T00:00:00"/>
    <s v="Monday   "/>
    <x v="1"/>
    <x v="0"/>
    <n v="1354"/>
  </r>
  <r>
    <d v="2026-03-29T00:00:00"/>
    <s v="ART BAR CAFE &amp; GALLERY MILWAUKEE WI"/>
    <x v="3"/>
    <s v="Sale"/>
    <n v="53.72"/>
    <x v="191"/>
    <n v="53.72"/>
    <n v="2026"/>
    <n v="3"/>
    <s v="2026-03"/>
    <d v="2026-03-29T00:00:00"/>
    <s v="Sunday   "/>
    <x v="1"/>
    <x v="0"/>
    <n v="1362"/>
  </r>
  <r>
    <d v="2026-03-26T00:00:00"/>
    <s v="PANERA BREAD #203286 P CRYSTAL LAKE IL_x000a_342818"/>
    <x v="3"/>
    <s v="Sale"/>
    <n v="23.62"/>
    <x v="64"/>
    <n v="23.62"/>
    <n v="2026"/>
    <n v="3"/>
    <s v="2026-03"/>
    <d v="2026-03-26T00:00:00"/>
    <s v="Thursday "/>
    <x v="1"/>
    <x v="0"/>
    <n v="1365"/>
  </r>
  <r>
    <d v="2026-03-26T00:00:00"/>
    <s v="WENDY'S #0507 WOODSTOCK IL"/>
    <x v="3"/>
    <s v="Sale"/>
    <n v="8.1300000000000008"/>
    <x v="30"/>
    <n v="8.1300000000000008"/>
    <n v="2026"/>
    <n v="3"/>
    <s v="2026-03"/>
    <d v="2026-03-26T00:00:00"/>
    <s v="Thursday "/>
    <x v="1"/>
    <x v="0"/>
    <n v="1366"/>
  </r>
  <r>
    <d v="2026-03-27T00:00:00"/>
    <s v="DOMINO'S 2786 CRYSTAL LAKE IL"/>
    <x v="3"/>
    <s v="Sale"/>
    <n v="23.83"/>
    <x v="35"/>
    <n v="23.83"/>
    <n v="2026"/>
    <n v="3"/>
    <s v="2026-03"/>
    <d v="2026-03-27T00:00:00"/>
    <s v="Friday   "/>
    <x v="1"/>
    <x v="0"/>
    <n v="1367"/>
  </r>
  <r>
    <d v="2026-03-23T00:00:00"/>
    <s v="JIMMY JOHNS - 0585 - ECO WOODSTOCK IL"/>
    <x v="3"/>
    <s v="Sale"/>
    <n v="23.11"/>
    <x v="36"/>
    <n v="23.11"/>
    <n v="2026"/>
    <n v="3"/>
    <s v="2026-03"/>
    <d v="2026-03-23T00:00:00"/>
    <s v="Monday   "/>
    <x v="1"/>
    <x v="0"/>
    <n v="1368"/>
  </r>
  <r>
    <d v="2026-03-10T00:00:00"/>
    <s v="JIMMY JOHNS - 0585 - ECO WOODSTOCK IL"/>
    <x v="3"/>
    <s v="Sale"/>
    <n v="38.1"/>
    <x v="36"/>
    <n v="38.1"/>
    <n v="2026"/>
    <n v="3"/>
    <s v="2026-03"/>
    <d v="2026-03-10T00:00:00"/>
    <s v="Tuesday  "/>
    <x v="1"/>
    <x v="0"/>
    <n v="1369"/>
  </r>
  <r>
    <d v="2026-03-05T00:00:00"/>
    <s v="JIMMY JOHNS - 0585 - ECO WOODSTOCK IL"/>
    <x v="3"/>
    <s v="Sale"/>
    <n v="20.27"/>
    <x v="36"/>
    <n v="20.27"/>
    <n v="2026"/>
    <n v="3"/>
    <s v="2026-03"/>
    <d v="2026-03-05T00:00:00"/>
    <s v="Thursday "/>
    <x v="1"/>
    <x v="0"/>
    <n v="1370"/>
  </r>
  <r>
    <d v="2026-03-03T00:00:00"/>
    <s v="JIMMY JOHNS - 0585 - ECO WOODSTOCK IL"/>
    <x v="3"/>
    <s v="Sale"/>
    <n v="20.27"/>
    <x v="36"/>
    <n v="20.27"/>
    <n v="2026"/>
    <n v="3"/>
    <s v="2026-03"/>
    <d v="2026-03-03T00:00:00"/>
    <s v="Tuesday  "/>
    <x v="1"/>
    <x v="0"/>
    <n v="1371"/>
  </r>
  <r>
    <d v="2026-02-27T00:00:00"/>
    <s v="JIMMY JOHNS - 0585 - ECO WOODSTOCK IL"/>
    <x v="3"/>
    <s v="Sale"/>
    <n v="23.54"/>
    <x v="36"/>
    <n v="23.54"/>
    <n v="2026"/>
    <n v="2"/>
    <s v="2026-02"/>
    <d v="2026-02-27T00:00:00"/>
    <s v="Friday   "/>
    <x v="1"/>
    <x v="0"/>
    <n v="1372"/>
  </r>
  <r>
    <d v="2026-02-18T00:00:00"/>
    <s v="JIMMY JOHNS - 0585 - ECO WOODSTOCK IL"/>
    <x v="3"/>
    <s v="Sale"/>
    <n v="17.059999999999999"/>
    <x v="36"/>
    <n v="17.059999999999999"/>
    <n v="2026"/>
    <n v="2"/>
    <s v="2026-02"/>
    <d v="2026-02-18T00:00:00"/>
    <s v="Wednesday"/>
    <x v="1"/>
    <x v="0"/>
    <n v="1373"/>
  </r>
  <r>
    <d v="2026-01-30T00:00:00"/>
    <s v="JIMMY JOHNS - 0585 - ECO WOODSTOCK IL_x000a_6DM3GHR0JF8"/>
    <x v="3"/>
    <s v="Sale"/>
    <n v="6.76"/>
    <x v="36"/>
    <n v="6.76"/>
    <n v="2026"/>
    <n v="1"/>
    <s v="2026-01"/>
    <d v="2026-01-30T00:00:00"/>
    <s v="Friday   "/>
    <x v="1"/>
    <x v="0"/>
    <n v="1374"/>
  </r>
  <r>
    <d v="2026-01-26T00:00:00"/>
    <s v="JIMMY JOHNS - 0585 - ECO WOODSTOCK IL"/>
    <x v="3"/>
    <s v="Sale"/>
    <n v="16.53"/>
    <x v="36"/>
    <n v="16.53"/>
    <n v="2026"/>
    <n v="1"/>
    <s v="2026-01"/>
    <d v="2026-01-26T00:00:00"/>
    <s v="Monday   "/>
    <x v="1"/>
    <x v="0"/>
    <n v="1375"/>
  </r>
  <r>
    <d v="2026-01-21T00:00:00"/>
    <s v="JIMMY JOHNS - 0585 - ECO WOODSTOCK IL_x000a_MD0RXDPNHJ6_x000a_5T0ZQSKQMJ2"/>
    <x v="3"/>
    <s v="Sale"/>
    <n v="16.53"/>
    <x v="36"/>
    <n v="16.53"/>
    <n v="2026"/>
    <n v="1"/>
    <s v="2026-01"/>
    <d v="2026-01-21T00:00:00"/>
    <s v="Wednesday"/>
    <x v="1"/>
    <x v="0"/>
    <n v="1376"/>
  </r>
  <r>
    <d v="2025-05-15T00:00:00"/>
    <s v="DUNKIN #306605 Q35"/>
    <x v="3"/>
    <s v="Sale"/>
    <n v="5.71"/>
    <x v="4"/>
    <n v="5.71"/>
    <n v="2025"/>
    <n v="5"/>
    <s v="2025-05"/>
    <d v="2025-05-15T00:00:00"/>
    <s v="Thursday "/>
    <x v="1"/>
    <x v="0"/>
    <n v="1325"/>
  </r>
  <r>
    <d v="2026-03-29T00:00:00"/>
    <s v="MILWAUKEE BREWERS F&amp;B MILWAUKEE WI"/>
    <x v="8"/>
    <s v="Sale"/>
    <n v="21.66"/>
    <x v="192"/>
    <n v="21.66"/>
    <n v="2026"/>
    <n v="3"/>
    <s v="2026-03"/>
    <d v="2026-03-29T00:00:00"/>
    <s v="Sunday   "/>
    <x v="1"/>
    <x v="0"/>
    <n v="1363"/>
  </r>
  <r>
    <d v="2025-12-04T00:00:00"/>
    <s v="JIMMY JOHNS - 0585 - ECO WOODSTOCK IL"/>
    <x v="3"/>
    <s v="Sale"/>
    <n v="21.02"/>
    <x v="36"/>
    <n v="21.02"/>
    <n v="2025"/>
    <n v="12"/>
    <s v="2025-12"/>
    <d v="2025-12-04T00:00:00"/>
    <s v="Thursday "/>
    <x v="1"/>
    <x v="0"/>
    <n v="1377"/>
  </r>
  <r>
    <d v="2026-03-23T00:00:00"/>
    <s v="DD/BR #340391 Q35 WOODSTOCK IL"/>
    <x v="3"/>
    <s v="Sale"/>
    <n v="5.17"/>
    <x v="4"/>
    <n v="5.17"/>
    <n v="2026"/>
    <n v="3"/>
    <s v="2026-03"/>
    <d v="2026-03-23T00:00:00"/>
    <s v="Monday   "/>
    <x v="1"/>
    <x v="0"/>
    <n v="1379"/>
  </r>
  <r>
    <d v="2026-03-24T00:00:00"/>
    <s v="MCDONALD'S F3488 WOODSTOCK IL"/>
    <x v="3"/>
    <s v="Sale"/>
    <n v="8.56"/>
    <x v="23"/>
    <n v="8.56"/>
    <n v="2026"/>
    <n v="3"/>
    <s v="2026-03"/>
    <d v="2026-03-24T00:00:00"/>
    <s v="Tuesday  "/>
    <x v="1"/>
    <x v="0"/>
    <n v="1380"/>
  </r>
  <r>
    <d v="2026-03-17T00:00:00"/>
    <s v="MCDONALD'S M7214 CRYSTAL LAKE IL"/>
    <x v="3"/>
    <s v="Sale"/>
    <n v="10.08"/>
    <x v="23"/>
    <n v="10.08"/>
    <n v="2026"/>
    <n v="3"/>
    <s v="2026-03"/>
    <d v="2026-03-17T00:00:00"/>
    <s v="Tuesday  "/>
    <x v="1"/>
    <x v="0"/>
    <n v="1381"/>
  </r>
  <r>
    <d v="2026-02-15T00:00:00"/>
    <s v="CLASSIC CINEMAS WOODSTOC WOODSTOCK IL"/>
    <x v="8"/>
    <s v="Sale"/>
    <n v="14.11"/>
    <x v="32"/>
    <n v="14.11"/>
    <n v="2026"/>
    <n v="2"/>
    <s v="2026-02"/>
    <d v="2026-02-15T00:00:00"/>
    <s v="Sunday   "/>
    <x v="1"/>
    <x v="0"/>
    <n v="1382"/>
  </r>
  <r>
    <d v="2026-03-21T00:00:00"/>
    <s v="PRIME VIDEO CHANNELS AMZN.COM/BILLWA_x000a_3910T9QX6BS"/>
    <x v="8"/>
    <s v="Sale"/>
    <n v="13.99"/>
    <x v="141"/>
    <n v="13.99"/>
    <n v="2026"/>
    <n v="3"/>
    <s v="2026-03"/>
    <d v="2026-03-21T00:00:00"/>
    <s v="Saturday "/>
    <x v="1"/>
    <x v="0"/>
    <n v="1385"/>
  </r>
  <r>
    <d v="2026-02-21T00:00:00"/>
    <s v="PRIME VIDEO CHANNELS AMZN.COM/BILLWA_x000a_4IX0CCK3WUC"/>
    <x v="8"/>
    <s v="Sale"/>
    <n v="13.99"/>
    <x v="141"/>
    <n v="13.99"/>
    <n v="2026"/>
    <n v="2"/>
    <s v="2026-02"/>
    <d v="2026-02-21T00:00:00"/>
    <s v="Saturday "/>
    <x v="1"/>
    <x v="0"/>
    <n v="1386"/>
  </r>
  <r>
    <d v="2026-03-14T00:00:00"/>
    <s v="NETFLIX.COM NETFLIX.COM CA_x000a_NETFLIX.COM"/>
    <x v="8"/>
    <s v="Sale"/>
    <n v="7.99"/>
    <x v="193"/>
    <n v="7.99"/>
    <n v="2026"/>
    <n v="3"/>
    <s v="2026-03"/>
    <d v="2026-03-14T00:00:00"/>
    <s v="Saturday "/>
    <x v="1"/>
    <x v="0"/>
    <n v="1388"/>
  </r>
  <r>
    <d v="2026-02-14T00:00:00"/>
    <s v="NETFLIX.COM NETFLIX.COM CA"/>
    <x v="8"/>
    <s v="Sale"/>
    <n v="7.99"/>
    <x v="193"/>
    <n v="7.99"/>
    <n v="2026"/>
    <n v="2"/>
    <s v="2026-02"/>
    <d v="2026-02-14T00:00:00"/>
    <s v="Saturday "/>
    <x v="1"/>
    <x v="0"/>
    <n v="1390"/>
  </r>
  <r>
    <d v="2025-11-27T00:00:00"/>
    <s v="AMC 9640 ONLINE 888-440-4262 KS"/>
    <x v="8"/>
    <s v="Sale"/>
    <n v="41.96"/>
    <x v="194"/>
    <n v="41.96"/>
    <n v="2025"/>
    <n v="11"/>
    <s v="2025-11"/>
    <d v="2025-11-27T00:00:00"/>
    <s v="Thursday "/>
    <x v="1"/>
    <x v="0"/>
    <n v="1401"/>
  </r>
  <r>
    <d v="2026-03-29T00:00:00"/>
    <s v="TST* LAKEFRONT BREWERY MILWAUKEE WI"/>
    <x v="3"/>
    <s v="Sale"/>
    <n v="9.75"/>
    <x v="195"/>
    <n v="9.75"/>
    <n v="2026"/>
    <n v="3"/>
    <s v="2026-03"/>
    <d v="2026-03-29T00:00:00"/>
    <s v="Sunday   "/>
    <x v="1"/>
    <x v="0"/>
    <n v="1364"/>
  </r>
  <r>
    <d v="2026-03-14T00:00:00"/>
    <s v="TM *JOHN CRIST LIVE 800-653-8000 CA_x000a_CH1/59-52747"/>
    <x v="8"/>
    <s v="Sale"/>
    <n v="67.900000000000006"/>
    <x v="196"/>
    <n v="67.900000000000006"/>
    <n v="2026"/>
    <n v="3"/>
    <s v="2026-03"/>
    <d v="2026-03-14T00:00:00"/>
    <s v="Saturday "/>
    <x v="1"/>
    <x v="0"/>
    <n v="1384"/>
  </r>
  <r>
    <d v="2025-05-11T00:00:00"/>
    <s v="WENDYS #  13352"/>
    <x v="3"/>
    <s v="Sale"/>
    <n v="25.74"/>
    <x v="30"/>
    <n v="25.74"/>
    <n v="2025"/>
    <n v="5"/>
    <s v="2025-05"/>
    <d v="2025-05-11T00:00:00"/>
    <s v="Sunday   "/>
    <x v="1"/>
    <x v="0"/>
    <n v="1327"/>
  </r>
  <r>
    <d v="2025-05-11T00:00:00"/>
    <s v="SQ *PSC @ CHICAGO DOGS -"/>
    <x v="3"/>
    <s v="Sale"/>
    <n v="9.4600000000000009"/>
    <x v="44"/>
    <n v="9.4600000000000009"/>
    <n v="2025"/>
    <n v="5"/>
    <s v="2025-05"/>
    <d v="2025-05-11T00:00:00"/>
    <s v="Sunday   "/>
    <x v="1"/>
    <x v="0"/>
    <n v="1328"/>
  </r>
  <r>
    <d v="2025-05-11T00:00:00"/>
    <s v="SQ *PSC @ CHICAGO DOGS -"/>
    <x v="3"/>
    <s v="Sale"/>
    <n v="25.03"/>
    <x v="44"/>
    <n v="25.03"/>
    <n v="2025"/>
    <n v="5"/>
    <s v="2025-05"/>
    <d v="2025-05-11T00:00:00"/>
    <s v="Sunday   "/>
    <x v="1"/>
    <x v="0"/>
    <n v="1330"/>
  </r>
  <r>
    <d v="2025-07-21T00:00:00"/>
    <s v="JIMMY JOHNS - 0585 - ECO WOODSTOCK IL"/>
    <x v="3"/>
    <s v="Sale"/>
    <n v="22.62"/>
    <x v="36"/>
    <n v="22.62"/>
    <n v="2025"/>
    <n v="7"/>
    <s v="2025-07"/>
    <d v="2025-07-21T00:00:00"/>
    <s v="Monday   "/>
    <x v="1"/>
    <x v="0"/>
    <n v="1429"/>
  </r>
  <r>
    <d v="2025-08-01T00:00:00"/>
    <s v="DD/BR #340391 Q35 WOODSTOCK IL"/>
    <x v="3"/>
    <s v="Sale"/>
    <n v="7.11"/>
    <x v="4"/>
    <n v="7.11"/>
    <n v="2025"/>
    <n v="8"/>
    <s v="2025-08"/>
    <d v="2025-08-01T00:00:00"/>
    <s v="Friday   "/>
    <x v="1"/>
    <x v="0"/>
    <n v="1439"/>
  </r>
  <r>
    <d v="2025-07-22T00:00:00"/>
    <s v="MCDONALD'S F14021 CRYSTAL LAKE IL"/>
    <x v="3"/>
    <s v="Sale"/>
    <n v="10.73"/>
    <x v="23"/>
    <n v="10.73"/>
    <n v="2025"/>
    <n v="7"/>
    <s v="2025-07"/>
    <d v="2025-07-22T00:00:00"/>
    <s v="Tuesday  "/>
    <x v="1"/>
    <x v="0"/>
    <n v="1444"/>
  </r>
  <r>
    <d v="2025-07-20T00:00:00"/>
    <s v="MCDONALD'S M7214 CRYSTAL LAKE IL"/>
    <x v="3"/>
    <s v="Sale"/>
    <n v="22.43"/>
    <x v="23"/>
    <n v="22.43"/>
    <n v="2025"/>
    <n v="7"/>
    <s v="2025-07"/>
    <d v="2025-07-20T00:00:00"/>
    <s v="Sunday   "/>
    <x v="1"/>
    <x v="0"/>
    <n v="1455"/>
  </r>
  <r>
    <d v="2026-01-14T00:00:00"/>
    <s v="NETFLIX.COM NETFLIX.COM CA"/>
    <x v="8"/>
    <s v="Sale"/>
    <n v="7.99"/>
    <x v="193"/>
    <n v="7.99"/>
    <n v="2026"/>
    <n v="1"/>
    <s v="2026-01"/>
    <d v="2026-01-14T00:00:00"/>
    <s v="Wednesday"/>
    <x v="1"/>
    <x v="0"/>
    <n v="1456"/>
  </r>
  <r>
    <d v="2025-12-14T00:00:00"/>
    <s v="NETFLIX.COM NETFLIX.COM CA_x000a_NETFLIX.COM"/>
    <x v="8"/>
    <s v="Sale"/>
    <n v="7.99"/>
    <x v="193"/>
    <n v="7.99"/>
    <n v="2025"/>
    <n v="12"/>
    <s v="2025-12"/>
    <d v="2025-12-14T00:00:00"/>
    <s v="Sunday   "/>
    <x v="1"/>
    <x v="0"/>
    <n v="1457"/>
  </r>
  <r>
    <d v="2025-11-14T00:00:00"/>
    <s v="NETFLIX.COM LOS GATOS CA"/>
    <x v="8"/>
    <s v="Sale"/>
    <n v="7.99"/>
    <x v="193"/>
    <n v="7.99"/>
    <n v="2025"/>
    <n v="11"/>
    <s v="2025-11"/>
    <d v="2025-11-14T00:00:00"/>
    <s v="Friday   "/>
    <x v="1"/>
    <x v="0"/>
    <n v="1458"/>
  </r>
  <r>
    <d v="2025-10-14T00:00:00"/>
    <s v="NETFLIX.COM NETFLIX.COM CA_x000a_NETFLIX.COM"/>
    <x v="8"/>
    <s v="Sale"/>
    <n v="7.99"/>
    <x v="193"/>
    <n v="7.99"/>
    <n v="2025"/>
    <n v="10"/>
    <s v="2025-10"/>
    <d v="2025-10-14T00:00:00"/>
    <s v="Tuesday  "/>
    <x v="1"/>
    <x v="0"/>
    <n v="1459"/>
  </r>
  <r>
    <d v="2025-09-14T00:00:00"/>
    <s v="NETFLIX.COM NETFLIX.COM CA_x000a_4M7NL59APEF"/>
    <x v="8"/>
    <s v="Sale"/>
    <n v="7.99"/>
    <x v="193"/>
    <n v="7.99"/>
    <n v="2025"/>
    <n v="9"/>
    <s v="2025-09"/>
    <d v="2025-09-14T00:00:00"/>
    <s v="Sunday   "/>
    <x v="1"/>
    <x v="0"/>
    <n v="1460"/>
  </r>
  <r>
    <d v="2025-08-14T00:00:00"/>
    <s v="NETFLIX.COM NETFLIX.COM CA"/>
    <x v="8"/>
    <s v="Sale"/>
    <n v="7.99"/>
    <x v="193"/>
    <n v="7.99"/>
    <n v="2025"/>
    <n v="8"/>
    <s v="2025-08"/>
    <d v="2025-08-14T00:00:00"/>
    <s v="Thursday "/>
    <x v="1"/>
    <x v="0"/>
    <n v="1461"/>
  </r>
  <r>
    <d v="2025-10-21T00:00:00"/>
    <s v="PRIME VIDEO CHANNELS AMZN.COM/BILLWA_x000a_4787CIQTZB2"/>
    <x v="8"/>
    <s v="Sale"/>
    <n v="12.99"/>
    <x v="141"/>
    <n v="12.99"/>
    <n v="2025"/>
    <n v="10"/>
    <s v="2025-10"/>
    <d v="2025-10-21T00:00:00"/>
    <s v="Tuesday  "/>
    <x v="1"/>
    <x v="0"/>
    <n v="1463"/>
  </r>
  <r>
    <d v="2025-09-21T00:00:00"/>
    <s v="PRIME VIDEO CHANNELS AMZN.COM/BILLWA"/>
    <x v="8"/>
    <s v="Sale"/>
    <n v="12.99"/>
    <x v="141"/>
    <n v="12.99"/>
    <n v="2025"/>
    <n v="9"/>
    <s v="2025-09"/>
    <d v="2025-09-21T00:00:00"/>
    <s v="Sunday   "/>
    <x v="1"/>
    <x v="0"/>
    <n v="1464"/>
  </r>
  <r>
    <d v="2025-08-21T00:00:00"/>
    <s v="PRIME VIDEO CHANNELS AMZN.COM/BILLWA_x000a_6J7G1R404JP"/>
    <x v="8"/>
    <s v="Sale"/>
    <n v="12.99"/>
    <x v="141"/>
    <n v="12.99"/>
    <n v="2025"/>
    <n v="8"/>
    <s v="2025-08"/>
    <d v="2025-08-21T00:00:00"/>
    <s v="Thursday "/>
    <x v="1"/>
    <x v="0"/>
    <n v="1465"/>
  </r>
  <r>
    <d v="2025-07-21T00:00:00"/>
    <s v="PRIME VIDEO CHANNELS AMZN.COM/BILLWA_x000a_2OIYGIRGG22"/>
    <x v="8"/>
    <s v="Sale"/>
    <n v="12.99"/>
    <x v="141"/>
    <n v="12.99"/>
    <n v="2025"/>
    <n v="7"/>
    <s v="2025-07"/>
    <d v="2025-07-21T00:00:00"/>
    <s v="Monday   "/>
    <x v="1"/>
    <x v="0"/>
    <n v="1466"/>
  </r>
  <r>
    <d v="2025-08-26T00:00:00"/>
    <s v="TM *BRAD WILLIAMS 800-653-8000 CA"/>
    <x v="8"/>
    <s v="Sale"/>
    <n v="96.8"/>
    <x v="197"/>
    <n v="96.8"/>
    <n v="2025"/>
    <n v="8"/>
    <s v="2025-08"/>
    <d v="2025-08-26T00:00:00"/>
    <s v="Tuesday  "/>
    <x v="1"/>
    <x v="0"/>
    <n v="1433"/>
  </r>
  <r>
    <d v="2025-11-23T00:00:00"/>
    <s v="SXM*SIRIUSXM.COM/ACCT 888-635-5144 NY_x000a_TEMPORARY CREDIT PENDING INVESTIGATION"/>
    <x v="8"/>
    <s v="Payment"/>
    <n v="-299.76"/>
    <x v="31"/>
    <n v="299.76"/>
    <n v="2025"/>
    <n v="11"/>
    <s v="2025-11"/>
    <d v="2025-11-23T00:00:00"/>
    <s v="Sunday   "/>
    <x v="0"/>
    <x v="0"/>
    <n v="1419"/>
  </r>
  <r>
    <d v="2025-11-18T00:00:00"/>
    <s v="SXM*SIRIUSXM.COM/ACCT 888-635-5144 NY_x000a_T1,207E7B6E,11E3"/>
    <x v="8"/>
    <s v="Sale"/>
    <n v="299.76"/>
    <x v="31"/>
    <n v="299.76"/>
    <n v="2025"/>
    <n v="11"/>
    <s v="2025-11"/>
    <d v="2025-11-18T00:00:00"/>
    <s v="Tuesday  "/>
    <x v="1"/>
    <x v="0"/>
    <n v="1420"/>
  </r>
  <r>
    <d v="2025-11-18T00:00:00"/>
    <s v="SXM*SIRIUSXM.COM/ACCT 888-635-5144 NY_x000a_REVERSAL OF TEMPORARY CREDIT"/>
    <x v="8"/>
    <s v="Sale"/>
    <n v="299.76"/>
    <x v="31"/>
    <n v="299.76"/>
    <n v="2025"/>
    <n v="11"/>
    <s v="2025-11"/>
    <d v="2025-11-18T00:00:00"/>
    <s v="Tuesday  "/>
    <x v="1"/>
    <x v="0"/>
    <n v="1421"/>
  </r>
  <r>
    <d v="2025-09-23T00:00:00"/>
    <s v="JIMMY JOHNS - 0585 - ECO WOODSTOCK IL_x000a_NETFLIX.COM"/>
    <x v="3"/>
    <s v="Sale"/>
    <n v="23.06"/>
    <x v="36"/>
    <n v="23.06"/>
    <n v="2025"/>
    <n v="9"/>
    <s v="2025-09"/>
    <d v="2025-09-23T00:00:00"/>
    <s v="Tuesday  "/>
    <x v="1"/>
    <x v="0"/>
    <n v="1430"/>
  </r>
  <r>
    <d v="2025-06-21T00:00:00"/>
    <s v="PRIME VIDEO CHANNELS AMZN.COM/BILLWA"/>
    <x v="8"/>
    <s v="Sale"/>
    <n v="12.99"/>
    <x v="141"/>
    <n v="12.99"/>
    <n v="2025"/>
    <n v="6"/>
    <s v="2025-06"/>
    <d v="2025-06-21T00:00:00"/>
    <s v="Saturday "/>
    <x v="1"/>
    <x v="0"/>
    <n v="1489"/>
  </r>
  <r>
    <d v="2025-05-21T00:00:00"/>
    <s v="PRIME VIDEO CHANNELS AMZN.COM/BILLWA_x000a_2A4DRY4RO4N"/>
    <x v="8"/>
    <s v="Sale"/>
    <n v="12.99"/>
    <x v="141"/>
    <n v="12.99"/>
    <n v="2025"/>
    <n v="5"/>
    <s v="2025-05"/>
    <d v="2025-05-21T00:00:00"/>
    <s v="Wednesday"/>
    <x v="1"/>
    <x v="0"/>
    <n v="1490"/>
  </r>
  <r>
    <d v="2025-05-25T00:00:00"/>
    <s v="AUDIBLE*NN3XI1BV2 AMZN.COM/BILLNJ_x000a_181T1YZLD48"/>
    <x v="8"/>
    <s v="Sale"/>
    <n v="14.95"/>
    <x v="79"/>
    <n v="14.95"/>
    <n v="2025"/>
    <n v="5"/>
    <s v="2025-05"/>
    <d v="2025-05-25T00:00:00"/>
    <s v="Sunday   "/>
    <x v="1"/>
    <x v="0"/>
    <n v="1493"/>
  </r>
  <r>
    <d v="2025-05-06T00:00:00"/>
    <s v="AUDIBLE*NB5VQ9D60 AMZN.COM/BILLNJ_x000a_6VR2BDA8UTV"/>
    <x v="8"/>
    <s v="Sale"/>
    <n v="7.99"/>
    <x v="79"/>
    <n v="7.99"/>
    <n v="2025"/>
    <n v="5"/>
    <s v="2025-05"/>
    <d v="2025-05-06T00:00:00"/>
    <s v="Tuesday  "/>
    <x v="1"/>
    <x v="0"/>
    <n v="1494"/>
  </r>
  <r>
    <d v="2025-06-14T00:00:00"/>
    <s v="NETFLIX.COM NETFLIX.COM CA"/>
    <x v="8"/>
    <s v="Sale"/>
    <n v="7.99"/>
    <x v="193"/>
    <n v="7.99"/>
    <n v="2025"/>
    <n v="6"/>
    <s v="2025-06"/>
    <d v="2025-06-14T00:00:00"/>
    <s v="Saturday "/>
    <x v="1"/>
    <x v="0"/>
    <n v="1504"/>
  </r>
  <r>
    <d v="2025-05-14T00:00:00"/>
    <s v="NETFLIX.COM LOS GATOS CA"/>
    <x v="8"/>
    <s v="Sale"/>
    <n v="7.99"/>
    <x v="193"/>
    <n v="7.99"/>
    <n v="2025"/>
    <n v="5"/>
    <s v="2025-05"/>
    <d v="2025-05-14T00:00:00"/>
    <s v="Wednesday"/>
    <x v="1"/>
    <x v="0"/>
    <n v="1505"/>
  </r>
  <r>
    <d v="2025-11-10T00:00:00"/>
    <s v="WAL-MART #4286"/>
    <x v="0"/>
    <s v="Sale"/>
    <n v="113.4"/>
    <x v="8"/>
    <n v="113.4"/>
    <n v="2025"/>
    <n v="11"/>
    <s v="2025-11"/>
    <d v="2025-11-10T00:00:00"/>
    <s v="Monday   "/>
    <x v="1"/>
    <x v="0"/>
    <n v="444"/>
  </r>
  <r>
    <d v="2025-07-14T00:00:00"/>
    <s v="NETFLIX.COM NETFLIX.COM CA_x000a_L8JO1BR4GZ8TWHGQVDABA4"/>
    <x v="8"/>
    <s v="Sale"/>
    <n v="7.99"/>
    <x v="193"/>
    <n v="7.99"/>
    <n v="2025"/>
    <n v="7"/>
    <s v="2025-07"/>
    <d v="2025-07-14T00:00:00"/>
    <s v="Monday   "/>
    <x v="1"/>
    <x v="0"/>
    <n v="18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7F4700-FCE4-4644-974D-4FF4D5B79D6C}"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57" firstHeaderRow="1" firstDataRow="1" firstDataCol="3"/>
  <pivotFields count="15">
    <pivotField compact="0" numFmtId="14" outline="0" showAll="0"/>
    <pivotField compact="0" outline="0" showAll="0"/>
    <pivotField axis="axisRow" compact="0" outline="0" multipleItemSelectionAllowed="1" showAll="0">
      <items count="15">
        <item x="11"/>
        <item x="10"/>
        <item x="2"/>
        <item x="3"/>
        <item x="8"/>
        <item x="5"/>
        <item x="7"/>
        <item x="9"/>
        <item x="4"/>
        <item x="13"/>
        <item h="1" x="12"/>
        <item x="0"/>
        <item x="6"/>
        <item x="1"/>
        <item t="default"/>
      </items>
    </pivotField>
    <pivotField compact="0" outline="0" showAll="0"/>
    <pivotField dataField="1" compact="0" outline="0" showAll="0"/>
    <pivotField axis="axisRow" compact="0" outline="0" showAll="0">
      <items count="199">
        <item sd="0" x="109"/>
        <item sd="0" x="85"/>
        <item sd="0" x="104"/>
        <item sd="0" x="60"/>
        <item sd="0" x="19"/>
        <item sd="0" x="39"/>
        <item sd="0" x="159"/>
        <item sd="0" x="0"/>
        <item sd="0" x="163"/>
        <item sd="0" x="194"/>
        <item sd="0" x="80"/>
        <item sd="0" x="5"/>
        <item sd="0" x="28"/>
        <item sd="0" x="6"/>
        <item sd="0" x="191"/>
        <item sd="0" x="17"/>
        <item sd="0" x="88"/>
        <item sd="0" x="79"/>
        <item sd="0" x="81"/>
        <item sd="0" x="78"/>
        <item sd="0" x="110"/>
        <item sd="0" x="45"/>
        <item sd="0" x="160"/>
        <item sd="0" x="94"/>
        <item sd="0" x="181"/>
        <item sd="0" x="74"/>
        <item sd="0" x="176"/>
        <item sd="0" x="108"/>
        <item sd="0" x="97"/>
        <item sd="0" x="107"/>
        <item sd="0" x="70"/>
        <item sd="0" x="197"/>
        <item sd="0" x="183"/>
        <item sd="0" x="187"/>
        <item sd="0" x="146"/>
        <item sd="0" x="92"/>
        <item sd="0" x="18"/>
        <item sd="0" x="130"/>
        <item sd="0" x="71"/>
        <item sd="0" x="189"/>
        <item sd="0" x="33"/>
        <item sd="0" x="24"/>
        <item sd="0" x="152"/>
        <item sd="0" x="7"/>
        <item sd="0" x="158"/>
        <item sd="0" x="99"/>
        <item sd="0" x="32"/>
        <item sd="0" x="115"/>
        <item sd="0" x="59"/>
        <item sd="0" x="12"/>
        <item sd="0" x="170"/>
        <item sd="0" x="180"/>
        <item sd="0" x="100"/>
        <item sd="0" x="132"/>
        <item sd="0" x="3"/>
        <item sd="0" x="168"/>
        <item sd="0" x="20"/>
        <item sd="0" x="177"/>
        <item sd="0" x="21"/>
        <item sd="0" x="169"/>
        <item sd="0" x="26"/>
        <item sd="0" x="2"/>
        <item sd="0" x="35"/>
        <item sd="0" x="118"/>
        <item sd="0" x="15"/>
        <item sd="0" x="4"/>
        <item sd="0" x="145"/>
        <item sd="0" x="154"/>
        <item sd="0" x="147"/>
        <item sd="0" x="164"/>
        <item sd="0" x="37"/>
        <item sd="0" x="102"/>
        <item sd="0" x="50"/>
        <item sd="0" x="58"/>
        <item sd="0" x="112"/>
        <item sd="0" x="123"/>
        <item sd="0" x="190"/>
        <item sd="0" x="16"/>
        <item sd="0" x="113"/>
        <item sd="0" x="114"/>
        <item sd="0" x="122"/>
        <item sd="0" x="111"/>
        <item sd="0" x="119"/>
        <item sd="0" x="140"/>
        <item sd="0" x="9"/>
        <item sd="0" x="96"/>
        <item sd="0" x="137"/>
        <item sd="0" x="76"/>
        <item sd="0" x="46"/>
        <item sd="0" x="138"/>
        <item sd="0" x="77"/>
        <item sd="0" x="179"/>
        <item sd="0" x="105"/>
        <item sd="0" x="29"/>
        <item sd="0" x="150"/>
        <item sd="0" x="67"/>
        <item sd="0" x="36"/>
        <item sd="0" x="196"/>
        <item sd="0" x="57"/>
        <item sd="0" x="151"/>
        <item sd="0" x="121"/>
        <item sd="0" x="162"/>
        <item sd="0" x="34"/>
        <item sd="0" x="188"/>
        <item sd="0" x="93"/>
        <item sd="0" x="195"/>
        <item sd="0" x="55"/>
        <item sd="0" x="131"/>
        <item sd="0" x="166"/>
        <item sd="0" x="84"/>
        <item sd="0" x="68"/>
        <item sd="0" x="13"/>
        <item sd="0" x="143"/>
        <item sd="0" x="148"/>
        <item sd="0" x="14"/>
        <item sd="0" x="1"/>
        <item sd="0" x="106"/>
        <item sd="0" x="23"/>
        <item sd="0" x="66"/>
        <item sd="0" x="139"/>
        <item sd="0" x="165"/>
        <item sd="0" x="192"/>
        <item sd="0" x="153"/>
        <item sd="0" x="101"/>
        <item sd="0" x="40"/>
        <item sd="0" x="87"/>
        <item sd="0" x="125"/>
        <item sd="0" x="174"/>
        <item sd="0" x="171"/>
        <item sd="0" x="155"/>
        <item sd="0" x="193"/>
        <item sd="0" x="51"/>
        <item sd="0" x="182"/>
        <item sd="0" x="120"/>
        <item sd="0" x="89"/>
        <item sd="0" x="56"/>
        <item sd="0" x="142"/>
        <item sd="0" x="157"/>
        <item sd="0" x="64"/>
        <item sd="0" x="47"/>
        <item sd="0" x="149"/>
        <item sd="0" x="134"/>
        <item sd="0" x="141"/>
        <item sd="0" x="44"/>
        <item sd="0" x="69"/>
        <item sd="0" x="62"/>
        <item sd="0" x="98"/>
        <item sd="0" x="136"/>
        <item sd="0" x="172"/>
        <item sd="0" x="54"/>
        <item sd="0" x="167"/>
        <item sd="0" x="127"/>
        <item sd="0" x="38"/>
        <item sd="0" x="61"/>
        <item sd="0" x="22"/>
        <item sd="0" x="95"/>
        <item sd="0" x="10"/>
        <item sd="0" x="52"/>
        <item sd="0" x="11"/>
        <item sd="0" x="75"/>
        <item sd="0" x="185"/>
        <item sd="0" x="31"/>
        <item sd="0" x="43"/>
        <item sd="0" x="63"/>
        <item sd="0" x="173"/>
        <item sd="0" x="178"/>
        <item sd="0" x="126"/>
        <item sd="0" x="186"/>
        <item sd="0" x="161"/>
        <item sd="0" x="116"/>
        <item sd="0" x="49"/>
        <item sd="0" x="90"/>
        <item sd="0" x="129"/>
        <item sd="0" x="42"/>
        <item sd="0" x="86"/>
        <item sd="0" x="48"/>
        <item sd="0" x="83"/>
        <item sd="0" x="144"/>
        <item sd="0" x="65"/>
        <item sd="0" x="135"/>
        <item sd="0" x="73"/>
        <item sd="0" x="128"/>
        <item sd="0" x="124"/>
        <item sd="0" x="175"/>
        <item sd="0" x="103"/>
        <item sd="0" x="133"/>
        <item sd="0" x="117"/>
        <item sd="0" x="82"/>
        <item sd="0" x="8"/>
        <item sd="0" x="184"/>
        <item sd="0" x="72"/>
        <item sd="0" x="30"/>
        <item sd="0" x="27"/>
        <item sd="0" x="91"/>
        <item sd="0" x="25"/>
        <item sd="0" x="41"/>
        <item sd="0" x="53"/>
        <item sd="0" x="156"/>
        <item t="default" sd="0"/>
      </items>
    </pivotField>
    <pivotField compact="0" outline="0" showAll="0"/>
    <pivotField compact="0" outline="0" showAll="0"/>
    <pivotField compact="0" outline="0" showAll="0"/>
    <pivotField compact="0" outline="0" showAll="0"/>
    <pivotField compact="0" numFmtId="14" outline="0" showAll="0"/>
    <pivotField compact="0" outline="0" showAll="0"/>
    <pivotField name="Expense or Return" compact="0" outline="0" showAll="0">
      <items count="3">
        <item x="1"/>
        <item x="0"/>
        <item t="default"/>
      </items>
    </pivotField>
    <pivotField name="Discretionary" axis="axisRow" compact="0" outline="0" showAll="0">
      <items count="3">
        <item h="1" sd="0" x="1"/>
        <item x="0"/>
        <item t="default"/>
      </items>
    </pivotField>
    <pivotField compact="0" outline="0" showAll="0"/>
  </pivotFields>
  <rowFields count="3">
    <field x="13"/>
    <field x="2"/>
    <field x="5"/>
  </rowFields>
  <rowItems count="154">
    <i>
      <x v="1"/>
      <x v="3"/>
      <x v="12"/>
    </i>
    <i r="2">
      <x v="14"/>
    </i>
    <i r="2">
      <x v="22"/>
    </i>
    <i r="2">
      <x v="24"/>
    </i>
    <i r="2">
      <x v="33"/>
    </i>
    <i r="2">
      <x v="34"/>
    </i>
    <i r="2">
      <x v="40"/>
    </i>
    <i r="2">
      <x v="41"/>
    </i>
    <i r="2">
      <x v="50"/>
    </i>
    <i r="2">
      <x v="51"/>
    </i>
    <i r="2">
      <x v="55"/>
    </i>
    <i r="2">
      <x v="56"/>
    </i>
    <i r="2">
      <x v="57"/>
    </i>
    <i r="2">
      <x v="59"/>
    </i>
    <i r="2">
      <x v="62"/>
    </i>
    <i r="2">
      <x v="65"/>
    </i>
    <i r="2">
      <x v="66"/>
    </i>
    <i r="2">
      <x v="67"/>
    </i>
    <i r="2">
      <x v="68"/>
    </i>
    <i r="2">
      <x v="69"/>
    </i>
    <i r="2">
      <x v="76"/>
    </i>
    <i r="2">
      <x v="91"/>
    </i>
    <i r="2">
      <x v="94"/>
    </i>
    <i r="2">
      <x v="96"/>
    </i>
    <i r="2">
      <x v="99"/>
    </i>
    <i r="2">
      <x v="101"/>
    </i>
    <i r="2">
      <x v="103"/>
    </i>
    <i r="2">
      <x v="105"/>
    </i>
    <i r="2">
      <x v="112"/>
    </i>
    <i r="2">
      <x v="113"/>
    </i>
    <i r="2">
      <x v="117"/>
    </i>
    <i r="2">
      <x v="124"/>
    </i>
    <i r="2">
      <x v="127"/>
    </i>
    <i r="2">
      <x v="129"/>
    </i>
    <i r="2">
      <x v="132"/>
    </i>
    <i r="2">
      <x v="136"/>
    </i>
    <i r="2">
      <x v="137"/>
    </i>
    <i r="2">
      <x v="138"/>
    </i>
    <i r="2">
      <x v="140"/>
    </i>
    <i r="2">
      <x v="143"/>
    </i>
    <i r="2">
      <x v="150"/>
    </i>
    <i r="2">
      <x v="162"/>
    </i>
    <i r="2">
      <x v="164"/>
    </i>
    <i r="2">
      <x v="166"/>
    </i>
    <i r="2">
      <x v="168"/>
    </i>
    <i r="2">
      <x v="169"/>
    </i>
    <i r="2">
      <x v="170"/>
    </i>
    <i r="2">
      <x v="173"/>
    </i>
    <i r="2">
      <x v="175"/>
    </i>
    <i r="2">
      <x v="177"/>
    </i>
    <i r="2">
      <x v="183"/>
    </i>
    <i r="2">
      <x v="186"/>
    </i>
    <i r="2">
      <x v="189"/>
    </i>
    <i r="2">
      <x v="191"/>
    </i>
    <i r="2">
      <x v="192"/>
    </i>
    <i r="2">
      <x v="197"/>
    </i>
    <i t="default" r="1">
      <x v="3"/>
    </i>
    <i r="1">
      <x v="4"/>
      <x v="5"/>
    </i>
    <i r="2">
      <x v="6"/>
    </i>
    <i r="2">
      <x v="8"/>
    </i>
    <i r="2">
      <x v="9"/>
    </i>
    <i r="2">
      <x v="17"/>
    </i>
    <i r="2">
      <x v="26"/>
    </i>
    <i r="2">
      <x v="31"/>
    </i>
    <i r="2">
      <x v="32"/>
    </i>
    <i r="2">
      <x v="39"/>
    </i>
    <i r="2">
      <x v="42"/>
    </i>
    <i r="2">
      <x v="44"/>
    </i>
    <i r="2">
      <x v="46"/>
    </i>
    <i r="2">
      <x v="80"/>
    </i>
    <i r="2">
      <x v="93"/>
    </i>
    <i r="2">
      <x v="97"/>
    </i>
    <i r="2">
      <x v="108"/>
    </i>
    <i r="2">
      <x v="120"/>
    </i>
    <i r="2">
      <x v="121"/>
    </i>
    <i r="2">
      <x v="122"/>
    </i>
    <i r="2">
      <x v="128"/>
    </i>
    <i r="2">
      <x v="130"/>
    </i>
    <i r="2">
      <x v="142"/>
    </i>
    <i r="2">
      <x v="148"/>
    </i>
    <i r="2">
      <x v="160"/>
    </i>
    <i r="2">
      <x v="161"/>
    </i>
    <i r="2">
      <x v="165"/>
    </i>
    <i r="2">
      <x v="167"/>
    </i>
    <i r="2">
      <x v="195"/>
    </i>
    <i t="default" r="1">
      <x v="4"/>
    </i>
    <i r="1">
      <x v="6"/>
      <x v="154"/>
    </i>
    <i t="default" r="1">
      <x v="6"/>
    </i>
    <i r="1">
      <x v="11"/>
      <x v="7"/>
    </i>
    <i r="2">
      <x v="13"/>
    </i>
    <i r="2">
      <x v="19"/>
    </i>
    <i r="2">
      <x v="20"/>
    </i>
    <i r="2">
      <x v="21"/>
    </i>
    <i r="2">
      <x v="23"/>
    </i>
    <i r="2">
      <x v="25"/>
    </i>
    <i r="2">
      <x v="43"/>
    </i>
    <i r="2">
      <x v="47"/>
    </i>
    <i r="2">
      <x v="48"/>
    </i>
    <i r="2">
      <x v="60"/>
    </i>
    <i r="2">
      <x v="61"/>
    </i>
    <i r="2">
      <x v="63"/>
    </i>
    <i r="2">
      <x v="70"/>
    </i>
    <i r="2">
      <x v="72"/>
    </i>
    <i r="2">
      <x v="73"/>
    </i>
    <i r="2">
      <x v="74"/>
    </i>
    <i r="2">
      <x v="78"/>
    </i>
    <i r="2">
      <x v="79"/>
    </i>
    <i r="2">
      <x v="81"/>
    </i>
    <i r="2">
      <x v="82"/>
    </i>
    <i r="2">
      <x v="85"/>
    </i>
    <i r="2">
      <x v="88"/>
    </i>
    <i r="2">
      <x v="98"/>
    </i>
    <i r="2">
      <x v="100"/>
    </i>
    <i r="2">
      <x v="102"/>
    </i>
    <i r="2">
      <x v="106"/>
    </i>
    <i r="2">
      <x v="110"/>
    </i>
    <i r="2">
      <x v="118"/>
    </i>
    <i r="2">
      <x v="131"/>
    </i>
    <i r="2">
      <x v="133"/>
    </i>
    <i r="2">
      <x v="135"/>
    </i>
    <i r="2">
      <x v="139"/>
    </i>
    <i r="2">
      <x v="147"/>
    </i>
    <i r="2">
      <x v="149"/>
    </i>
    <i r="2">
      <x v="155"/>
    </i>
    <i r="2">
      <x v="157"/>
    </i>
    <i r="2">
      <x v="163"/>
    </i>
    <i r="2">
      <x v="172"/>
    </i>
    <i r="2">
      <x v="178"/>
    </i>
    <i r="2">
      <x v="179"/>
    </i>
    <i r="2">
      <x v="181"/>
    </i>
    <i r="2">
      <x v="188"/>
    </i>
    <i r="2">
      <x v="196"/>
    </i>
    <i t="default" r="1">
      <x v="11"/>
    </i>
    <i r="1">
      <x v="13"/>
      <x v="2"/>
    </i>
    <i r="2">
      <x v="10"/>
    </i>
    <i r="2">
      <x v="11"/>
    </i>
    <i r="2">
      <x v="18"/>
    </i>
    <i r="2">
      <x v="37"/>
    </i>
    <i r="2">
      <x v="83"/>
    </i>
    <i r="2">
      <x v="86"/>
    </i>
    <i r="2">
      <x v="87"/>
    </i>
    <i r="2">
      <x v="89"/>
    </i>
    <i r="2">
      <x v="90"/>
    </i>
    <i r="2">
      <x v="92"/>
    </i>
    <i r="2">
      <x v="115"/>
    </i>
    <i r="2">
      <x v="119"/>
    </i>
    <i r="2">
      <x v="123"/>
    </i>
    <i r="2">
      <x v="141"/>
    </i>
    <i r="2">
      <x v="151"/>
    </i>
    <i r="2">
      <x v="152"/>
    </i>
    <i r="2">
      <x v="185"/>
    </i>
    <i t="default" r="1">
      <x v="13"/>
    </i>
    <i t="default">
      <x v="1"/>
    </i>
    <i t="grand">
      <x/>
    </i>
  </rowItems>
  <colItems count="1">
    <i/>
  </colItems>
  <dataFields count="1">
    <dataField name="Sum of Charges" fld="4" baseField="0" baseItem="0" numFmtId="164"/>
  </dataFields>
  <formats count="2">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A8F536-6FB1-4887-B08F-38BA230DB038}" sourceName="category">
  <pivotTables>
    <pivotTable tabId="2" name="PivotTable1"/>
  </pivotTables>
  <data>
    <tabular pivotCacheId="680717667">
      <items count="14">
        <i x="3" s="1"/>
        <i x="8" s="1"/>
        <i x="7" s="1"/>
        <i x="0" s="1"/>
        <i x="1" s="1"/>
        <i x="11" s="1" nd="1"/>
        <i x="10" s="1" nd="1"/>
        <i x="2" s="1" nd="1"/>
        <i x="5" s="1" nd="1"/>
        <i x="9" s="1" nd="1"/>
        <i x="4" s="1" nd="1"/>
        <i x="13" s="1" nd="1"/>
        <i x="12"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datory" xr10:uid="{80BAE3D2-696D-444C-AAD2-712C54A7158F}" sourceName="mandatory">
  <pivotTables>
    <pivotTable tabId="2" name="PivotTable1"/>
  </pivotTables>
  <data>
    <tabular pivotCacheId="680717667">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1710D2CC-0FDD-420D-B976-6EBB126FF6D5}" sourceName="vendor">
  <pivotTables>
    <pivotTable tabId="2" name="PivotTable1"/>
  </pivotTables>
  <data>
    <tabular pivotCacheId="680717667">
      <items count="198">
        <i x="104" s="1"/>
        <i x="39" s="1"/>
        <i x="159" s="1"/>
        <i x="0" s="1"/>
        <i x="163" s="1"/>
        <i x="194" s="1"/>
        <i x="80" s="1"/>
        <i x="5" s="1"/>
        <i x="28" s="1"/>
        <i x="6" s="1"/>
        <i x="191" s="1"/>
        <i x="79" s="1"/>
        <i x="81" s="1"/>
        <i x="78" s="1"/>
        <i x="110" s="1"/>
        <i x="45" s="1"/>
        <i x="160" s="1"/>
        <i x="94" s="1"/>
        <i x="181" s="1"/>
        <i x="74" s="1"/>
        <i x="176" s="1"/>
        <i x="197" s="1"/>
        <i x="183" s="1"/>
        <i x="187" s="1"/>
        <i x="146" s="1"/>
        <i x="130" s="1"/>
        <i x="189" s="1"/>
        <i x="33" s="1"/>
        <i x="24" s="1"/>
        <i x="152" s="1"/>
        <i x="7" s="1"/>
        <i x="158" s="1"/>
        <i x="32" s="1"/>
        <i x="115" s="1"/>
        <i x="59" s="1"/>
        <i x="170" s="1"/>
        <i x="180" s="1"/>
        <i x="168" s="1"/>
        <i x="20" s="1"/>
        <i x="177" s="1"/>
        <i x="169" s="1"/>
        <i x="26" s="1"/>
        <i x="2" s="1"/>
        <i x="35" s="1"/>
        <i x="118" s="1"/>
        <i x="4" s="1"/>
        <i x="145" s="1"/>
        <i x="154" s="1"/>
        <i x="147" s="1"/>
        <i x="164" s="1"/>
        <i x="37" s="1"/>
        <i x="50" s="1"/>
        <i x="58" s="1"/>
        <i x="112" s="1"/>
        <i x="190" s="1"/>
        <i x="113" s="1"/>
        <i x="114" s="1"/>
        <i x="122" s="1"/>
        <i x="111" s="1"/>
        <i x="119" s="1"/>
        <i x="140" s="1"/>
        <i x="96" s="1"/>
        <i x="137" s="1"/>
        <i x="76" s="1"/>
        <i x="46" s="1"/>
        <i x="138" s="1"/>
        <i x="77" s="1"/>
        <i x="179" s="1"/>
        <i x="105" s="1"/>
        <i x="29" s="1"/>
        <i x="150" s="1"/>
        <i x="36" s="1"/>
        <i x="196" s="1"/>
        <i x="57" s="1"/>
        <i x="151" s="1"/>
        <i x="121" s="1"/>
        <i x="162" s="1"/>
        <i x="34" s="1"/>
        <i x="188" s="1"/>
        <i x="195" s="1"/>
        <i x="55" s="1"/>
        <i x="166" s="1"/>
        <i x="68" s="1"/>
        <i x="143" s="1"/>
        <i x="148" s="1"/>
        <i x="1" s="1"/>
        <i x="23" s="1"/>
        <i x="66" s="1"/>
        <i x="139" s="1"/>
        <i x="165" s="1"/>
        <i x="192" s="1"/>
        <i x="153" s="1"/>
        <i x="101" s="1"/>
        <i x="40" s="1"/>
        <i x="174" s="1"/>
        <i x="171" s="1"/>
        <i x="155" s="1"/>
        <i x="193" s="1"/>
        <i x="51" s="1"/>
        <i x="182" s="1"/>
        <i x="120" s="1"/>
        <i x="56" s="1"/>
        <i x="142" s="1"/>
        <i x="157" s="1"/>
        <i x="64" s="1"/>
        <i x="47" s="1"/>
        <i x="149" s="1"/>
        <i x="134" s="1"/>
        <i x="141" s="1"/>
        <i x="44" s="1"/>
        <i x="136" s="1"/>
        <i x="172" s="1"/>
        <i x="54" s="1"/>
        <i x="167" s="1"/>
        <i x="127" s="1"/>
        <i x="38" s="1"/>
        <i x="22" s="1"/>
        <i x="95" s="1"/>
        <i x="52" s="1"/>
        <i x="185" s="1"/>
        <i x="31" s="1"/>
        <i x="43" s="1"/>
        <i x="63" s="1"/>
        <i x="173" s="1"/>
        <i x="178" s="1"/>
        <i x="126" s="1"/>
        <i x="186" s="1"/>
        <i x="161" s="1"/>
        <i x="116" s="1"/>
        <i x="49" s="1"/>
        <i x="129" s="1"/>
        <i x="42" s="1"/>
        <i x="48" s="1"/>
        <i x="144" s="1"/>
        <i x="65" s="1"/>
        <i x="135" s="1"/>
        <i x="128" s="1"/>
        <i x="175" s="1"/>
        <i x="133" s="1"/>
        <i x="117" s="1"/>
        <i x="8" s="1"/>
        <i x="184" s="1"/>
        <i x="30" s="1"/>
        <i x="27" s="1"/>
        <i x="41" s="1"/>
        <i x="53" s="1"/>
        <i x="156" s="1"/>
        <i x="109" s="1" nd="1"/>
        <i x="85" s="1" nd="1"/>
        <i x="60" s="1" nd="1"/>
        <i x="19" s="1" nd="1"/>
        <i x="17" s="1" nd="1"/>
        <i x="88" s="1" nd="1"/>
        <i x="108" s="1" nd="1"/>
        <i x="97" s="1" nd="1"/>
        <i x="107" s="1" nd="1"/>
        <i x="70" s="1" nd="1"/>
        <i x="92" s="1" nd="1"/>
        <i x="18" s="1" nd="1"/>
        <i x="71" s="1" nd="1"/>
        <i x="99" s="1" nd="1"/>
        <i x="12" s="1" nd="1"/>
        <i x="100" s="1" nd="1"/>
        <i x="132" s="1" nd="1"/>
        <i x="3" s="1" nd="1"/>
        <i x="21" s="1" nd="1"/>
        <i x="15" s="1" nd="1"/>
        <i x="102" s="1" nd="1"/>
        <i x="123" s="1" nd="1"/>
        <i x="16" s="1" nd="1"/>
        <i x="9" s="1" nd="1"/>
        <i x="67" s="1" nd="1"/>
        <i x="93" s="1" nd="1"/>
        <i x="131" s="1" nd="1"/>
        <i x="84" s="1" nd="1"/>
        <i x="13" s="1" nd="1"/>
        <i x="14" s="1" nd="1"/>
        <i x="106" s="1" nd="1"/>
        <i x="87" s="1" nd="1"/>
        <i x="125" s="1" nd="1"/>
        <i x="89" s="1" nd="1"/>
        <i x="69" s="1" nd="1"/>
        <i x="62" s="1" nd="1"/>
        <i x="98" s="1" nd="1"/>
        <i x="61" s="1" nd="1"/>
        <i x="10" s="1" nd="1"/>
        <i x="11" s="1" nd="1"/>
        <i x="75" s="1" nd="1"/>
        <i x="90" s="1" nd="1"/>
        <i x="86" s="1" nd="1"/>
        <i x="83" s="1" nd="1"/>
        <i x="73" s="1" nd="1"/>
        <i x="124" s="1" nd="1"/>
        <i x="103" s="1" nd="1"/>
        <i x="82" s="1" nd="1"/>
        <i x="72" s="1" nd="1"/>
        <i x="91" s="1" nd="1"/>
        <i x="2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5832F7-A9E8-45A8-ABE7-0860155A7CF2}" cache="Slicer_category" caption="category" rowHeight="251883"/>
  <slicer name="Discretionary" xr10:uid="{A2000A92-55E6-4A84-88B8-25582D2EDC6D}" cache="Slicer_mandatory" caption="Discretionary" rowHeight="251883"/>
  <slicer name="vendor" xr10:uid="{949B1693-F825-40AB-BC76-179196207D77}" cache="Slicer_vendor" caption="vendo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732F6-E68A-4E25-AD0E-6457A0CB526A}" name="expenditures_enhance" displayName="expenditures_enhance" ref="A1:O942" totalsRowShown="0">
  <autoFilter ref="A1:O942" xr:uid="{B6F732F6-E68A-4E25-AD0E-6457A0CB526A}"/>
  <tableColumns count="15">
    <tableColumn id="1" xr3:uid="{F7C88499-6B00-47FC-BE3C-ADD616128750}" name="transaction_date" dataDxfId="12"/>
    <tableColumn id="2" xr3:uid="{1BADD09B-8BCA-4120-8DF7-666369061D2B}" name="description"/>
    <tableColumn id="3" xr3:uid="{873D673C-2277-4082-AB53-A47F2F83BBE3}" name="category"/>
    <tableColumn id="4" xr3:uid="{192F2408-4C69-4512-87B6-E13E138EF36C}" name="transaction_sub_type"/>
    <tableColumn id="5" xr3:uid="{7F3B0514-7A3F-476D-A072-D8F529557ED3}" name="amount"/>
    <tableColumn id="6" xr3:uid="{60BB3893-480C-4109-A4CE-8242196CEF7C}" name="vendor"/>
    <tableColumn id="7" xr3:uid="{06BF7417-A271-40C5-93F9-B9F73CC7A71D}" name="amount_abs"/>
    <tableColumn id="8" xr3:uid="{FAF28FBA-08D4-4EA6-9D3B-571B35793D03}" name="year"/>
    <tableColumn id="9" xr3:uid="{F55BF133-BE65-4859-A267-809729F17578}" name="month"/>
    <tableColumn id="10" xr3:uid="{76A80429-F11B-40FA-8BBD-D985D020181F}" name="year_month"/>
    <tableColumn id="11" xr3:uid="{24CD911C-7AD3-48C9-8B0B-D898032909EC}" name="year_month_day" dataDxfId="11"/>
    <tableColumn id="12" xr3:uid="{C042FE6F-B506-4AEB-A8E8-842729B9A33B}" name="day_of_week"/>
    <tableColumn id="13" xr3:uid="{98CAD167-E13A-4ABB-B194-CDBD867CEF4F}" name="transaction_type"/>
    <tableColumn id="14" xr3:uid="{BAA37AAE-2B5F-4572-9CEE-C666E14923AD}" name="mandatory"/>
    <tableColumn id="15" xr3:uid="{DEC861E1-4006-4CEA-ACE8-C8B3CBCAB725}" name="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87D67E-A0CC-4067-A1B3-EB29FB697789}" name="Table2" displayName="Table2" ref="A1:J5" totalsRowShown="0">
  <autoFilter ref="A1:J5" xr:uid="{BF87D67E-A0CC-4067-A1B3-EB29FB697789}"/>
  <tableColumns count="10">
    <tableColumn id="1" xr3:uid="{BCAD2660-97FB-4BC2-BD5B-3420AA8C2500}" name="Category"/>
    <tableColumn id="2" xr3:uid="{C653F3A1-7296-4EDD-A3E2-922D255A8047}" name="Transactions" dataDxfId="8">
      <calculatedColumnFormula>COUNTIF(expenditures_enhance[category], A2)</calculatedColumnFormula>
    </tableColumn>
    <tableColumn id="3" xr3:uid="{E7EC80C0-9A1E-4670-9068-934FA9F5459A}" name="Amount Per Transaction" dataDxfId="7">
      <calculatedColumnFormula>SUMIF(expenditures_enhance[category],A2,expenditures_enhance[amount])/B2</calculatedColumnFormula>
    </tableColumn>
    <tableColumn id="5" xr3:uid="{1553C93E-5EFB-46D2-8CF2-DFED4F4FC626}" name="Amount Per Month" dataDxfId="6">
      <calculatedColumnFormula>E2/11</calculatedColumnFormula>
    </tableColumn>
    <tableColumn id="4" xr3:uid="{278520C1-FCF9-4057-BB27-726FB8E5273F}" name="Total Amount" dataDxfId="5">
      <calculatedColumnFormula>SUMIF(expenditures_enhance[category],A2,expenditures_enhance[amount])</calculatedColumnFormula>
    </tableColumn>
    <tableColumn id="6" xr3:uid="{4C5B010D-5CFD-42B8-8233-BFA468836060}" name="Growth Rate" dataDxfId="4" dataCellStyle="Percent"/>
    <tableColumn id="7" xr3:uid="{7E6990A0-04EA-491F-8147-1EA025FD41C3}" name="Amount Per Month With Growth Rate" dataDxfId="3">
      <calculatedColumnFormula>D2*(1+F2)</calculatedColumnFormula>
    </tableColumn>
    <tableColumn id="10" xr3:uid="{5ED79C87-95C0-4A3F-B2B2-F5CD9DB7487A}" name="Total Amount With Growth Rate" dataDxfId="1" dataCellStyle="Percent">
      <calculatedColumnFormula>E2*(1+F2)</calculatedColumnFormula>
    </tableColumn>
    <tableColumn id="8" xr3:uid="{36D07818-7D36-4D20-939D-103027F10939}" name="Delta Per Month" dataDxfId="2">
      <calculatedColumnFormula>G2-D2</calculatedColumnFormula>
    </tableColumn>
    <tableColumn id="9" xr3:uid="{9CA1BEFB-697B-435A-8250-4CF60C5BCEF9}" name="Delta Total Amount" dataDxfId="0">
      <calculatedColumnFormula>H2-E2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80FC-D16F-4F3D-B5FB-6A2518579382}">
  <dimension ref="A1:O942"/>
  <sheetViews>
    <sheetView tabSelected="1" workbookViewId="0">
      <selection activeCell="B12" sqref="B12"/>
    </sheetView>
  </sheetViews>
  <sheetFormatPr defaultRowHeight="14.5" x14ac:dyDescent="0.35"/>
  <cols>
    <col min="1" max="1" width="17.1796875" customWidth="1"/>
    <col min="2" max="2" width="43.08984375" bestFit="1" customWidth="1"/>
    <col min="3" max="3" width="19.36328125" bestFit="1" customWidth="1"/>
    <col min="4" max="4" width="21.1796875" customWidth="1"/>
    <col min="5" max="5" width="9.453125" customWidth="1"/>
    <col min="6" max="6" width="32.453125" bestFit="1" customWidth="1"/>
    <col min="7" max="7" width="13.26953125" customWidth="1"/>
    <col min="8" max="8" width="6.54296875" customWidth="1"/>
    <col min="9" max="9" width="8.453125" customWidth="1"/>
    <col min="10" max="10" width="13" customWidth="1"/>
    <col min="11" max="11" width="16.81640625" customWidth="1"/>
    <col min="12" max="12" width="13.81640625" customWidth="1"/>
    <col min="13" max="13" width="17.1796875" customWidth="1"/>
    <col min="14" max="14" width="12" customWidth="1"/>
    <col min="15" max="15" width="4.81640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s="1">
        <v>46074</v>
      </c>
      <c r="B2" s="2" t="s">
        <v>15</v>
      </c>
      <c r="C2" t="s">
        <v>16</v>
      </c>
      <c r="D2" t="s">
        <v>17</v>
      </c>
      <c r="E2">
        <v>-34.71</v>
      </c>
      <c r="F2" t="s">
        <v>18</v>
      </c>
      <c r="G2">
        <v>34.71</v>
      </c>
      <c r="H2">
        <v>2026</v>
      </c>
      <c r="I2">
        <v>2</v>
      </c>
      <c r="J2" t="s">
        <v>19</v>
      </c>
      <c r="K2" s="1">
        <v>46074</v>
      </c>
      <c r="L2" t="s">
        <v>20</v>
      </c>
      <c r="M2" t="s">
        <v>21</v>
      </c>
      <c r="N2" t="b">
        <v>1</v>
      </c>
      <c r="O2">
        <v>48</v>
      </c>
    </row>
    <row r="3" spans="1:15" x14ac:dyDescent="0.35">
      <c r="A3" s="1">
        <v>46072</v>
      </c>
      <c r="B3" t="s">
        <v>22</v>
      </c>
      <c r="C3" t="s">
        <v>16</v>
      </c>
      <c r="D3" t="s">
        <v>17</v>
      </c>
      <c r="E3">
        <v>-6.9</v>
      </c>
      <c r="F3" t="s">
        <v>18</v>
      </c>
      <c r="G3">
        <v>6.9</v>
      </c>
      <c r="H3">
        <v>2026</v>
      </c>
      <c r="I3">
        <v>2</v>
      </c>
      <c r="J3" t="s">
        <v>19</v>
      </c>
      <c r="K3" s="1">
        <v>46072</v>
      </c>
      <c r="L3" t="s">
        <v>23</v>
      </c>
      <c r="M3" t="s">
        <v>21</v>
      </c>
      <c r="N3" t="b">
        <v>1</v>
      </c>
      <c r="O3">
        <v>50</v>
      </c>
    </row>
    <row r="4" spans="1:15" x14ac:dyDescent="0.35">
      <c r="A4" s="1">
        <v>46053</v>
      </c>
      <c r="B4" t="s">
        <v>22</v>
      </c>
      <c r="C4" t="s">
        <v>16</v>
      </c>
      <c r="D4" t="s">
        <v>17</v>
      </c>
      <c r="E4">
        <v>-15.18</v>
      </c>
      <c r="F4" t="s">
        <v>18</v>
      </c>
      <c r="G4">
        <v>15.18</v>
      </c>
      <c r="H4">
        <v>2026</v>
      </c>
      <c r="I4">
        <v>1</v>
      </c>
      <c r="J4" t="s">
        <v>24</v>
      </c>
      <c r="K4" s="1">
        <v>46053</v>
      </c>
      <c r="L4" t="s">
        <v>20</v>
      </c>
      <c r="M4" t="s">
        <v>21</v>
      </c>
      <c r="N4" t="b">
        <v>1</v>
      </c>
      <c r="O4">
        <v>52</v>
      </c>
    </row>
    <row r="5" spans="1:15" x14ac:dyDescent="0.35">
      <c r="A5" s="1">
        <v>46053</v>
      </c>
      <c r="B5" s="2" t="s">
        <v>25</v>
      </c>
      <c r="C5" t="s">
        <v>16</v>
      </c>
      <c r="D5" t="s">
        <v>17</v>
      </c>
      <c r="E5">
        <v>-21.69</v>
      </c>
      <c r="F5" t="s">
        <v>18</v>
      </c>
      <c r="G5">
        <v>21.69</v>
      </c>
      <c r="H5">
        <v>2026</v>
      </c>
      <c r="I5">
        <v>1</v>
      </c>
      <c r="J5" t="s">
        <v>24</v>
      </c>
      <c r="K5" s="1">
        <v>46053</v>
      </c>
      <c r="L5" t="s">
        <v>20</v>
      </c>
      <c r="M5" t="s">
        <v>21</v>
      </c>
      <c r="N5" t="b">
        <v>1</v>
      </c>
      <c r="O5">
        <v>53</v>
      </c>
    </row>
    <row r="6" spans="1:15" x14ac:dyDescent="0.35">
      <c r="A6" s="1">
        <v>46053</v>
      </c>
      <c r="B6" s="2" t="s">
        <v>26</v>
      </c>
      <c r="C6" t="s">
        <v>16</v>
      </c>
      <c r="D6" t="s">
        <v>17</v>
      </c>
      <c r="E6">
        <v>-29.28</v>
      </c>
      <c r="F6" t="s">
        <v>18</v>
      </c>
      <c r="G6">
        <v>29.28</v>
      </c>
      <c r="H6">
        <v>2026</v>
      </c>
      <c r="I6">
        <v>1</v>
      </c>
      <c r="J6" t="s">
        <v>24</v>
      </c>
      <c r="K6" s="1">
        <v>46053</v>
      </c>
      <c r="L6" t="s">
        <v>20</v>
      </c>
      <c r="M6" t="s">
        <v>21</v>
      </c>
      <c r="N6" t="b">
        <v>1</v>
      </c>
      <c r="O6">
        <v>54</v>
      </c>
    </row>
    <row r="7" spans="1:15" x14ac:dyDescent="0.35">
      <c r="A7" s="1">
        <v>46053</v>
      </c>
      <c r="B7" t="s">
        <v>22</v>
      </c>
      <c r="C7" t="s">
        <v>16</v>
      </c>
      <c r="D7" t="s">
        <v>17</v>
      </c>
      <c r="E7">
        <v>-29.28</v>
      </c>
      <c r="F7" t="s">
        <v>18</v>
      </c>
      <c r="G7">
        <v>29.28</v>
      </c>
      <c r="H7">
        <v>2026</v>
      </c>
      <c r="I7">
        <v>1</v>
      </c>
      <c r="J7" t="s">
        <v>24</v>
      </c>
      <c r="K7" s="1">
        <v>46053</v>
      </c>
      <c r="L7" t="s">
        <v>20</v>
      </c>
      <c r="M7" t="s">
        <v>21</v>
      </c>
      <c r="N7" t="b">
        <v>1</v>
      </c>
      <c r="O7">
        <v>55</v>
      </c>
    </row>
    <row r="8" spans="1:15" x14ac:dyDescent="0.35">
      <c r="A8" s="1">
        <v>46053</v>
      </c>
      <c r="B8" t="s">
        <v>22</v>
      </c>
      <c r="C8" t="s">
        <v>16</v>
      </c>
      <c r="D8" t="s">
        <v>17</v>
      </c>
      <c r="E8">
        <v>-37.96</v>
      </c>
      <c r="F8" t="s">
        <v>18</v>
      </c>
      <c r="G8">
        <v>37.96</v>
      </c>
      <c r="H8">
        <v>2026</v>
      </c>
      <c r="I8">
        <v>1</v>
      </c>
      <c r="J8" t="s">
        <v>24</v>
      </c>
      <c r="K8" s="1">
        <v>46053</v>
      </c>
      <c r="L8" t="s">
        <v>20</v>
      </c>
      <c r="M8" t="s">
        <v>21</v>
      </c>
      <c r="N8" t="b">
        <v>1</v>
      </c>
      <c r="O8">
        <v>56</v>
      </c>
    </row>
    <row r="9" spans="1:15" x14ac:dyDescent="0.35">
      <c r="A9" s="1">
        <v>46053</v>
      </c>
      <c r="B9" s="2" t="s">
        <v>27</v>
      </c>
      <c r="C9" t="s">
        <v>16</v>
      </c>
      <c r="D9" t="s">
        <v>17</v>
      </c>
      <c r="E9">
        <v>-39.049999999999997</v>
      </c>
      <c r="F9" t="s">
        <v>18</v>
      </c>
      <c r="G9">
        <v>39.049999999999997</v>
      </c>
      <c r="H9">
        <v>2026</v>
      </c>
      <c r="I9">
        <v>1</v>
      </c>
      <c r="J9" t="s">
        <v>24</v>
      </c>
      <c r="K9" s="1">
        <v>46053</v>
      </c>
      <c r="L9" t="s">
        <v>20</v>
      </c>
      <c r="M9" t="s">
        <v>21</v>
      </c>
      <c r="N9" t="b">
        <v>1</v>
      </c>
      <c r="O9">
        <v>57</v>
      </c>
    </row>
    <row r="10" spans="1:15" x14ac:dyDescent="0.35">
      <c r="A10" s="1">
        <v>46053</v>
      </c>
      <c r="B10" s="2" t="s">
        <v>28</v>
      </c>
      <c r="C10" t="s">
        <v>16</v>
      </c>
      <c r="D10" t="s">
        <v>17</v>
      </c>
      <c r="E10">
        <v>-39.049999999999997</v>
      </c>
      <c r="F10" t="s">
        <v>18</v>
      </c>
      <c r="G10">
        <v>39.049999999999997</v>
      </c>
      <c r="H10">
        <v>2026</v>
      </c>
      <c r="I10">
        <v>1</v>
      </c>
      <c r="J10" t="s">
        <v>24</v>
      </c>
      <c r="K10" s="1">
        <v>46053</v>
      </c>
      <c r="L10" t="s">
        <v>20</v>
      </c>
      <c r="M10" t="s">
        <v>21</v>
      </c>
      <c r="N10" t="b">
        <v>1</v>
      </c>
      <c r="O10">
        <v>58</v>
      </c>
    </row>
    <row r="11" spans="1:15" x14ac:dyDescent="0.35">
      <c r="A11" s="1">
        <v>46053</v>
      </c>
      <c r="B11" s="2" t="s">
        <v>29</v>
      </c>
      <c r="C11" t="s">
        <v>16</v>
      </c>
      <c r="D11" t="s">
        <v>17</v>
      </c>
      <c r="E11">
        <v>-41.22</v>
      </c>
      <c r="F11" t="s">
        <v>18</v>
      </c>
      <c r="G11">
        <v>41.22</v>
      </c>
      <c r="H11">
        <v>2026</v>
      </c>
      <c r="I11">
        <v>1</v>
      </c>
      <c r="J11" t="s">
        <v>24</v>
      </c>
      <c r="K11" s="1">
        <v>46053</v>
      </c>
      <c r="L11" t="s">
        <v>20</v>
      </c>
      <c r="M11" t="s">
        <v>21</v>
      </c>
      <c r="N11" t="b">
        <v>1</v>
      </c>
      <c r="O11">
        <v>59</v>
      </c>
    </row>
    <row r="12" spans="1:15" x14ac:dyDescent="0.35">
      <c r="A12" s="1">
        <v>45905</v>
      </c>
      <c r="B12" t="s">
        <v>22</v>
      </c>
      <c r="C12" t="s">
        <v>16</v>
      </c>
      <c r="D12" t="s">
        <v>17</v>
      </c>
      <c r="E12">
        <v>-19.52</v>
      </c>
      <c r="F12" t="s">
        <v>18</v>
      </c>
      <c r="G12">
        <v>19.52</v>
      </c>
      <c r="H12">
        <v>2025</v>
      </c>
      <c r="I12">
        <v>9</v>
      </c>
      <c r="J12" t="s">
        <v>30</v>
      </c>
      <c r="K12" s="1">
        <v>45905</v>
      </c>
      <c r="L12" t="s">
        <v>31</v>
      </c>
      <c r="M12" t="s">
        <v>21</v>
      </c>
      <c r="N12" t="b">
        <v>1</v>
      </c>
      <c r="O12">
        <v>102</v>
      </c>
    </row>
    <row r="13" spans="1:15" x14ac:dyDescent="0.35">
      <c r="A13" s="1">
        <v>45905</v>
      </c>
      <c r="B13" s="2" t="s">
        <v>32</v>
      </c>
      <c r="C13" t="s">
        <v>16</v>
      </c>
      <c r="D13" t="s">
        <v>17</v>
      </c>
      <c r="E13">
        <v>-37.96</v>
      </c>
      <c r="F13" t="s">
        <v>18</v>
      </c>
      <c r="G13">
        <v>37.96</v>
      </c>
      <c r="H13">
        <v>2025</v>
      </c>
      <c r="I13">
        <v>9</v>
      </c>
      <c r="J13" t="s">
        <v>30</v>
      </c>
      <c r="K13" s="1">
        <v>45905</v>
      </c>
      <c r="L13" t="s">
        <v>31</v>
      </c>
      <c r="M13" t="s">
        <v>21</v>
      </c>
      <c r="N13" t="b">
        <v>1</v>
      </c>
      <c r="O13">
        <v>103</v>
      </c>
    </row>
    <row r="14" spans="1:15" x14ac:dyDescent="0.35">
      <c r="A14" s="1">
        <v>45820</v>
      </c>
      <c r="B14" t="s">
        <v>22</v>
      </c>
      <c r="C14" t="s">
        <v>16</v>
      </c>
      <c r="D14" t="s">
        <v>17</v>
      </c>
      <c r="E14">
        <v>-10.84</v>
      </c>
      <c r="F14" t="s">
        <v>18</v>
      </c>
      <c r="G14">
        <v>10.84</v>
      </c>
      <c r="H14">
        <v>2025</v>
      </c>
      <c r="I14">
        <v>6</v>
      </c>
      <c r="J14" t="s">
        <v>33</v>
      </c>
      <c r="K14" s="1">
        <v>45820</v>
      </c>
      <c r="L14" t="s">
        <v>23</v>
      </c>
      <c r="M14" t="s">
        <v>21</v>
      </c>
      <c r="N14" t="b">
        <v>1</v>
      </c>
      <c r="O14">
        <v>112</v>
      </c>
    </row>
    <row r="15" spans="1:15" x14ac:dyDescent="0.35">
      <c r="A15" s="1">
        <v>45820</v>
      </c>
      <c r="B15" t="s">
        <v>22</v>
      </c>
      <c r="C15" t="s">
        <v>16</v>
      </c>
      <c r="D15" t="s">
        <v>17</v>
      </c>
      <c r="E15">
        <v>-17.28</v>
      </c>
      <c r="F15" t="s">
        <v>18</v>
      </c>
      <c r="G15">
        <v>17.28</v>
      </c>
      <c r="H15">
        <v>2025</v>
      </c>
      <c r="I15">
        <v>6</v>
      </c>
      <c r="J15" t="s">
        <v>33</v>
      </c>
      <c r="K15" s="1">
        <v>45820</v>
      </c>
      <c r="L15" t="s">
        <v>23</v>
      </c>
      <c r="M15" t="s">
        <v>21</v>
      </c>
      <c r="N15" t="b">
        <v>1</v>
      </c>
      <c r="O15">
        <v>113</v>
      </c>
    </row>
    <row r="16" spans="1:15" x14ac:dyDescent="0.35">
      <c r="A16" s="1">
        <v>46055</v>
      </c>
      <c r="B16" t="s">
        <v>34</v>
      </c>
      <c r="C16" t="s">
        <v>35</v>
      </c>
      <c r="D16" t="s">
        <v>36</v>
      </c>
      <c r="E16">
        <v>21.6</v>
      </c>
      <c r="F16" t="s">
        <v>37</v>
      </c>
      <c r="G16">
        <v>21.6</v>
      </c>
      <c r="H16">
        <v>2026</v>
      </c>
      <c r="I16">
        <v>2</v>
      </c>
      <c r="J16" t="s">
        <v>19</v>
      </c>
      <c r="K16" s="1">
        <v>46055</v>
      </c>
      <c r="L16" t="s">
        <v>38</v>
      </c>
      <c r="M16" t="s">
        <v>39</v>
      </c>
      <c r="N16" t="b">
        <v>1</v>
      </c>
      <c r="O16">
        <v>136</v>
      </c>
    </row>
    <row r="17" spans="1:15" x14ac:dyDescent="0.35">
      <c r="A17" s="1">
        <v>45820</v>
      </c>
      <c r="B17" t="s">
        <v>22</v>
      </c>
      <c r="C17" t="s">
        <v>16</v>
      </c>
      <c r="D17" t="s">
        <v>17</v>
      </c>
      <c r="E17">
        <v>-10.84</v>
      </c>
      <c r="F17" t="s">
        <v>18</v>
      </c>
      <c r="G17">
        <v>10.84</v>
      </c>
      <c r="H17">
        <v>2025</v>
      </c>
      <c r="I17">
        <v>6</v>
      </c>
      <c r="J17" t="s">
        <v>33</v>
      </c>
      <c r="K17" s="1">
        <v>45820</v>
      </c>
      <c r="L17" t="s">
        <v>23</v>
      </c>
      <c r="M17" t="s">
        <v>21</v>
      </c>
      <c r="N17" t="b">
        <v>1</v>
      </c>
      <c r="O17">
        <v>16</v>
      </c>
    </row>
    <row r="18" spans="1:15" x14ac:dyDescent="0.35">
      <c r="A18" s="1">
        <v>46075</v>
      </c>
      <c r="B18" s="2" t="s">
        <v>40</v>
      </c>
      <c r="C18" t="s">
        <v>16</v>
      </c>
      <c r="D18" t="s">
        <v>17</v>
      </c>
      <c r="E18">
        <v>-21.64</v>
      </c>
      <c r="F18" t="s">
        <v>18</v>
      </c>
      <c r="G18">
        <v>21.64</v>
      </c>
      <c r="H18">
        <v>2026</v>
      </c>
      <c r="I18">
        <v>2</v>
      </c>
      <c r="J18" t="s">
        <v>19</v>
      </c>
      <c r="K18" s="1">
        <v>46075</v>
      </c>
      <c r="L18" t="s">
        <v>41</v>
      </c>
      <c r="M18" t="s">
        <v>21</v>
      </c>
      <c r="N18" t="b">
        <v>1</v>
      </c>
      <c r="O18">
        <v>40</v>
      </c>
    </row>
    <row r="19" spans="1:15" x14ac:dyDescent="0.35">
      <c r="A19" s="1">
        <v>46075</v>
      </c>
      <c r="B19" s="2" t="s">
        <v>42</v>
      </c>
      <c r="C19" t="s">
        <v>16</v>
      </c>
      <c r="D19" t="s">
        <v>17</v>
      </c>
      <c r="E19">
        <v>-21.64</v>
      </c>
      <c r="F19" t="s">
        <v>18</v>
      </c>
      <c r="G19">
        <v>21.64</v>
      </c>
      <c r="H19">
        <v>2026</v>
      </c>
      <c r="I19">
        <v>2</v>
      </c>
      <c r="J19" t="s">
        <v>19</v>
      </c>
      <c r="K19" s="1">
        <v>46075</v>
      </c>
      <c r="L19" t="s">
        <v>41</v>
      </c>
      <c r="M19" t="s">
        <v>21</v>
      </c>
      <c r="N19" t="b">
        <v>1</v>
      </c>
      <c r="O19">
        <v>41</v>
      </c>
    </row>
    <row r="20" spans="1:15" x14ac:dyDescent="0.35">
      <c r="A20" s="1">
        <v>46075</v>
      </c>
      <c r="B20" s="2" t="s">
        <v>43</v>
      </c>
      <c r="C20" t="s">
        <v>16</v>
      </c>
      <c r="D20" t="s">
        <v>17</v>
      </c>
      <c r="E20">
        <v>-21.65</v>
      </c>
      <c r="F20" t="s">
        <v>18</v>
      </c>
      <c r="G20">
        <v>21.65</v>
      </c>
      <c r="H20">
        <v>2026</v>
      </c>
      <c r="I20">
        <v>2</v>
      </c>
      <c r="J20" t="s">
        <v>19</v>
      </c>
      <c r="K20" s="1">
        <v>46075</v>
      </c>
      <c r="L20" t="s">
        <v>41</v>
      </c>
      <c r="M20" t="s">
        <v>21</v>
      </c>
      <c r="N20" t="b">
        <v>1</v>
      </c>
      <c r="O20">
        <v>42</v>
      </c>
    </row>
    <row r="21" spans="1:15" x14ac:dyDescent="0.35">
      <c r="A21" s="1">
        <v>46075</v>
      </c>
      <c r="B21" s="2" t="s">
        <v>44</v>
      </c>
      <c r="C21" t="s">
        <v>16</v>
      </c>
      <c r="D21" t="s">
        <v>17</v>
      </c>
      <c r="E21">
        <v>-30.3</v>
      </c>
      <c r="F21" t="s">
        <v>18</v>
      </c>
      <c r="G21">
        <v>30.3</v>
      </c>
      <c r="H21">
        <v>2026</v>
      </c>
      <c r="I21">
        <v>2</v>
      </c>
      <c r="J21" t="s">
        <v>19</v>
      </c>
      <c r="K21" s="1">
        <v>46075</v>
      </c>
      <c r="L21" t="s">
        <v>41</v>
      </c>
      <c r="M21" t="s">
        <v>21</v>
      </c>
      <c r="N21" t="b">
        <v>1</v>
      </c>
      <c r="O21">
        <v>43</v>
      </c>
    </row>
    <row r="22" spans="1:15" x14ac:dyDescent="0.35">
      <c r="A22" s="1">
        <v>46075</v>
      </c>
      <c r="B22" s="2" t="s">
        <v>45</v>
      </c>
      <c r="C22" t="s">
        <v>16</v>
      </c>
      <c r="D22" t="s">
        <v>17</v>
      </c>
      <c r="E22">
        <v>-30.3</v>
      </c>
      <c r="F22" t="s">
        <v>18</v>
      </c>
      <c r="G22">
        <v>30.3</v>
      </c>
      <c r="H22">
        <v>2026</v>
      </c>
      <c r="I22">
        <v>2</v>
      </c>
      <c r="J22" t="s">
        <v>19</v>
      </c>
      <c r="K22" s="1">
        <v>46075</v>
      </c>
      <c r="L22" t="s">
        <v>41</v>
      </c>
      <c r="M22" t="s">
        <v>21</v>
      </c>
      <c r="N22" t="b">
        <v>1</v>
      </c>
      <c r="O22">
        <v>44</v>
      </c>
    </row>
    <row r="23" spans="1:15" x14ac:dyDescent="0.35">
      <c r="A23" s="1">
        <v>46074</v>
      </c>
      <c r="B23" s="2" t="s">
        <v>46</v>
      </c>
      <c r="C23" t="s">
        <v>16</v>
      </c>
      <c r="D23" t="s">
        <v>17</v>
      </c>
      <c r="E23">
        <v>-20.6</v>
      </c>
      <c r="F23" t="s">
        <v>18</v>
      </c>
      <c r="G23">
        <v>20.6</v>
      </c>
      <c r="H23">
        <v>2026</v>
      </c>
      <c r="I23">
        <v>2</v>
      </c>
      <c r="J23" t="s">
        <v>19</v>
      </c>
      <c r="K23" s="1">
        <v>46074</v>
      </c>
      <c r="L23" t="s">
        <v>20</v>
      </c>
      <c r="M23" t="s">
        <v>21</v>
      </c>
      <c r="N23" t="b">
        <v>1</v>
      </c>
      <c r="O23">
        <v>45</v>
      </c>
    </row>
    <row r="24" spans="1:15" x14ac:dyDescent="0.35">
      <c r="A24" s="1">
        <v>46101</v>
      </c>
      <c r="B24" s="2" t="s">
        <v>47</v>
      </c>
      <c r="C24" t="s">
        <v>16</v>
      </c>
      <c r="D24" t="s">
        <v>36</v>
      </c>
      <c r="E24">
        <v>14.99</v>
      </c>
      <c r="F24" t="s">
        <v>18</v>
      </c>
      <c r="G24">
        <v>14.99</v>
      </c>
      <c r="H24">
        <v>2026</v>
      </c>
      <c r="I24">
        <v>3</v>
      </c>
      <c r="J24" t="s">
        <v>48</v>
      </c>
      <c r="K24" s="1">
        <v>46101</v>
      </c>
      <c r="L24" t="s">
        <v>31</v>
      </c>
      <c r="M24" t="s">
        <v>39</v>
      </c>
      <c r="N24" t="b">
        <v>1</v>
      </c>
      <c r="O24">
        <v>2</v>
      </c>
    </row>
    <row r="25" spans="1:15" x14ac:dyDescent="0.35">
      <c r="A25" s="1">
        <v>46042</v>
      </c>
      <c r="B25" s="2" t="s">
        <v>49</v>
      </c>
      <c r="C25" t="s">
        <v>16</v>
      </c>
      <c r="D25" t="s">
        <v>36</v>
      </c>
      <c r="E25">
        <v>14.99</v>
      </c>
      <c r="F25" t="s">
        <v>18</v>
      </c>
      <c r="G25">
        <v>14.99</v>
      </c>
      <c r="H25">
        <v>2026</v>
      </c>
      <c r="I25">
        <v>1</v>
      </c>
      <c r="J25" t="s">
        <v>24</v>
      </c>
      <c r="K25" s="1">
        <v>46042</v>
      </c>
      <c r="L25" t="s">
        <v>50</v>
      </c>
      <c r="M25" t="s">
        <v>39</v>
      </c>
      <c r="N25" t="b">
        <v>1</v>
      </c>
      <c r="O25">
        <v>3</v>
      </c>
    </row>
    <row r="26" spans="1:15" x14ac:dyDescent="0.35">
      <c r="A26" s="1">
        <v>46041</v>
      </c>
      <c r="B26" t="s">
        <v>51</v>
      </c>
      <c r="C26" t="s">
        <v>16</v>
      </c>
      <c r="D26" t="s">
        <v>36</v>
      </c>
      <c r="E26">
        <v>64.36</v>
      </c>
      <c r="F26" t="s">
        <v>18</v>
      </c>
      <c r="G26">
        <v>64.36</v>
      </c>
      <c r="H26">
        <v>2026</v>
      </c>
      <c r="I26">
        <v>1</v>
      </c>
      <c r="J26" t="s">
        <v>24</v>
      </c>
      <c r="K26" s="1">
        <v>46041</v>
      </c>
      <c r="L26" t="s">
        <v>38</v>
      </c>
      <c r="M26" t="s">
        <v>39</v>
      </c>
      <c r="N26" t="b">
        <v>1</v>
      </c>
      <c r="O26">
        <v>4</v>
      </c>
    </row>
    <row r="27" spans="1:15" x14ac:dyDescent="0.35">
      <c r="A27" s="1">
        <v>46040</v>
      </c>
      <c r="B27" s="2" t="s">
        <v>52</v>
      </c>
      <c r="C27" t="s">
        <v>16</v>
      </c>
      <c r="D27" t="s">
        <v>36</v>
      </c>
      <c r="E27">
        <v>383.99</v>
      </c>
      <c r="F27" t="s">
        <v>18</v>
      </c>
      <c r="G27">
        <v>383.99</v>
      </c>
      <c r="H27">
        <v>2026</v>
      </c>
      <c r="I27">
        <v>1</v>
      </c>
      <c r="J27" t="s">
        <v>24</v>
      </c>
      <c r="K27" s="1">
        <v>46040</v>
      </c>
      <c r="L27" t="s">
        <v>41</v>
      </c>
      <c r="M27" t="s">
        <v>39</v>
      </c>
      <c r="N27" t="b">
        <v>1</v>
      </c>
      <c r="O27">
        <v>5</v>
      </c>
    </row>
    <row r="28" spans="1:15" x14ac:dyDescent="0.35">
      <c r="A28" s="1">
        <v>46074</v>
      </c>
      <c r="B28" s="2" t="s">
        <v>53</v>
      </c>
      <c r="C28" t="s">
        <v>16</v>
      </c>
      <c r="D28" t="s">
        <v>17</v>
      </c>
      <c r="E28">
        <v>-27.28</v>
      </c>
      <c r="F28" t="s">
        <v>18</v>
      </c>
      <c r="G28">
        <v>27.28</v>
      </c>
      <c r="H28">
        <v>2026</v>
      </c>
      <c r="I28">
        <v>2</v>
      </c>
      <c r="J28" t="s">
        <v>19</v>
      </c>
      <c r="K28" s="1">
        <v>46074</v>
      </c>
      <c r="L28" t="s">
        <v>20</v>
      </c>
      <c r="M28" t="s">
        <v>21</v>
      </c>
      <c r="N28" t="b">
        <v>1</v>
      </c>
      <c r="O28">
        <v>46</v>
      </c>
    </row>
    <row r="29" spans="1:15" x14ac:dyDescent="0.35">
      <c r="A29" s="1">
        <v>46038</v>
      </c>
      <c r="B29" s="2" t="s">
        <v>54</v>
      </c>
      <c r="C29" t="s">
        <v>16</v>
      </c>
      <c r="D29" t="s">
        <v>36</v>
      </c>
      <c r="E29">
        <v>25.96</v>
      </c>
      <c r="F29" t="s">
        <v>18</v>
      </c>
      <c r="G29">
        <v>25.96</v>
      </c>
      <c r="H29">
        <v>2026</v>
      </c>
      <c r="I29">
        <v>1</v>
      </c>
      <c r="J29" t="s">
        <v>24</v>
      </c>
      <c r="K29" s="1">
        <v>46038</v>
      </c>
      <c r="L29" t="s">
        <v>31</v>
      </c>
      <c r="M29" t="s">
        <v>39</v>
      </c>
      <c r="N29" t="b">
        <v>1</v>
      </c>
      <c r="O29">
        <v>7</v>
      </c>
    </row>
    <row r="30" spans="1:15" x14ac:dyDescent="0.35">
      <c r="A30" s="1">
        <v>45925</v>
      </c>
      <c r="B30" t="s">
        <v>55</v>
      </c>
      <c r="C30" t="s">
        <v>16</v>
      </c>
      <c r="D30" t="s">
        <v>36</v>
      </c>
      <c r="E30">
        <v>5.99</v>
      </c>
      <c r="F30" t="s">
        <v>18</v>
      </c>
      <c r="G30">
        <v>5.99</v>
      </c>
      <c r="H30">
        <v>2025</v>
      </c>
      <c r="I30">
        <v>9</v>
      </c>
      <c r="J30" t="s">
        <v>30</v>
      </c>
      <c r="K30" s="1">
        <v>45925</v>
      </c>
      <c r="L30" t="s">
        <v>23</v>
      </c>
      <c r="M30" t="s">
        <v>39</v>
      </c>
      <c r="N30" t="b">
        <v>1</v>
      </c>
      <c r="O30">
        <v>8</v>
      </c>
    </row>
    <row r="31" spans="1:15" x14ac:dyDescent="0.35">
      <c r="A31" s="1">
        <v>45952</v>
      </c>
      <c r="B31" s="2" t="s">
        <v>56</v>
      </c>
      <c r="C31" t="s">
        <v>16</v>
      </c>
      <c r="D31" t="s">
        <v>36</v>
      </c>
      <c r="E31">
        <v>14.99</v>
      </c>
      <c r="F31" t="s">
        <v>18</v>
      </c>
      <c r="G31">
        <v>14.99</v>
      </c>
      <c r="H31">
        <v>2025</v>
      </c>
      <c r="I31">
        <v>10</v>
      </c>
      <c r="J31" t="s">
        <v>57</v>
      </c>
      <c r="K31" s="1">
        <v>45952</v>
      </c>
      <c r="L31" t="s">
        <v>58</v>
      </c>
      <c r="M31" t="s">
        <v>39</v>
      </c>
      <c r="N31" t="b">
        <v>1</v>
      </c>
      <c r="O31">
        <v>9</v>
      </c>
    </row>
    <row r="32" spans="1:15" x14ac:dyDescent="0.35">
      <c r="A32" s="1">
        <v>45950</v>
      </c>
      <c r="B32" s="2" t="s">
        <v>59</v>
      </c>
      <c r="C32" t="s">
        <v>16</v>
      </c>
      <c r="D32" t="s">
        <v>36</v>
      </c>
      <c r="E32">
        <v>24.38</v>
      </c>
      <c r="F32" t="s">
        <v>18</v>
      </c>
      <c r="G32">
        <v>24.38</v>
      </c>
      <c r="H32">
        <v>2025</v>
      </c>
      <c r="I32">
        <v>10</v>
      </c>
      <c r="J32" t="s">
        <v>57</v>
      </c>
      <c r="K32" s="1">
        <v>45950</v>
      </c>
      <c r="L32" t="s">
        <v>38</v>
      </c>
      <c r="M32" t="s">
        <v>39</v>
      </c>
      <c r="N32" t="b">
        <v>1</v>
      </c>
      <c r="O32">
        <v>10</v>
      </c>
    </row>
    <row r="33" spans="1:15" x14ac:dyDescent="0.35">
      <c r="A33" s="1">
        <v>45950</v>
      </c>
      <c r="B33" s="2" t="s">
        <v>60</v>
      </c>
      <c r="C33" t="s">
        <v>16</v>
      </c>
      <c r="D33" t="s">
        <v>36</v>
      </c>
      <c r="E33">
        <v>20.6</v>
      </c>
      <c r="F33" t="s">
        <v>18</v>
      </c>
      <c r="G33">
        <v>20.6</v>
      </c>
      <c r="H33">
        <v>2025</v>
      </c>
      <c r="I33">
        <v>10</v>
      </c>
      <c r="J33" t="s">
        <v>57</v>
      </c>
      <c r="K33" s="1">
        <v>45950</v>
      </c>
      <c r="L33" t="s">
        <v>38</v>
      </c>
      <c r="M33" t="s">
        <v>39</v>
      </c>
      <c r="N33" t="b">
        <v>1</v>
      </c>
      <c r="O33">
        <v>11</v>
      </c>
    </row>
    <row r="34" spans="1:15" x14ac:dyDescent="0.35">
      <c r="A34" s="1">
        <v>45936</v>
      </c>
      <c r="B34" s="2" t="s">
        <v>61</v>
      </c>
      <c r="C34" t="s">
        <v>16</v>
      </c>
      <c r="D34" t="s">
        <v>36</v>
      </c>
      <c r="E34">
        <v>13.01</v>
      </c>
      <c r="F34" t="s">
        <v>18</v>
      </c>
      <c r="G34">
        <v>13.01</v>
      </c>
      <c r="H34">
        <v>2025</v>
      </c>
      <c r="I34">
        <v>10</v>
      </c>
      <c r="J34" t="s">
        <v>57</v>
      </c>
      <c r="K34" s="1">
        <v>45936</v>
      </c>
      <c r="L34" t="s">
        <v>38</v>
      </c>
      <c r="M34" t="s">
        <v>39</v>
      </c>
      <c r="N34" t="b">
        <v>1</v>
      </c>
      <c r="O34">
        <v>12</v>
      </c>
    </row>
    <row r="35" spans="1:15" x14ac:dyDescent="0.35">
      <c r="A35" s="1">
        <v>45923</v>
      </c>
      <c r="B35" t="s">
        <v>62</v>
      </c>
      <c r="C35" t="s">
        <v>16</v>
      </c>
      <c r="D35" t="s">
        <v>36</v>
      </c>
      <c r="E35">
        <v>6.5</v>
      </c>
      <c r="F35" t="s">
        <v>18</v>
      </c>
      <c r="G35">
        <v>6.5</v>
      </c>
      <c r="H35">
        <v>2025</v>
      </c>
      <c r="I35">
        <v>9</v>
      </c>
      <c r="J35" t="s">
        <v>30</v>
      </c>
      <c r="K35" s="1">
        <v>45923</v>
      </c>
      <c r="L35" t="s">
        <v>50</v>
      </c>
      <c r="M35" t="s">
        <v>39</v>
      </c>
      <c r="N35" t="b">
        <v>1</v>
      </c>
      <c r="O35">
        <v>13</v>
      </c>
    </row>
    <row r="36" spans="1:15" x14ac:dyDescent="0.35">
      <c r="A36" s="1">
        <v>45833</v>
      </c>
      <c r="B36" s="2" t="s">
        <v>63</v>
      </c>
      <c r="C36" t="s">
        <v>16</v>
      </c>
      <c r="D36" t="s">
        <v>36</v>
      </c>
      <c r="E36">
        <v>5.99</v>
      </c>
      <c r="F36" t="s">
        <v>18</v>
      </c>
      <c r="G36">
        <v>5.99</v>
      </c>
      <c r="H36">
        <v>2025</v>
      </c>
      <c r="I36">
        <v>6</v>
      </c>
      <c r="J36" t="s">
        <v>33</v>
      </c>
      <c r="K36" s="1">
        <v>45833</v>
      </c>
      <c r="L36" t="s">
        <v>58</v>
      </c>
      <c r="M36" t="s">
        <v>39</v>
      </c>
      <c r="N36" t="b">
        <v>1</v>
      </c>
      <c r="O36">
        <v>14</v>
      </c>
    </row>
    <row r="37" spans="1:15" x14ac:dyDescent="0.35">
      <c r="A37" s="1">
        <v>45828</v>
      </c>
      <c r="B37" s="2" t="s">
        <v>64</v>
      </c>
      <c r="C37" t="s">
        <v>16</v>
      </c>
      <c r="D37" t="s">
        <v>36</v>
      </c>
      <c r="E37">
        <v>14.99</v>
      </c>
      <c r="F37" t="s">
        <v>18</v>
      </c>
      <c r="G37">
        <v>14.99</v>
      </c>
      <c r="H37">
        <v>2025</v>
      </c>
      <c r="I37">
        <v>6</v>
      </c>
      <c r="J37" t="s">
        <v>33</v>
      </c>
      <c r="K37" s="1">
        <v>45828</v>
      </c>
      <c r="L37" t="s">
        <v>31</v>
      </c>
      <c r="M37" t="s">
        <v>39</v>
      </c>
      <c r="N37" t="b">
        <v>1</v>
      </c>
      <c r="O37">
        <v>15</v>
      </c>
    </row>
    <row r="38" spans="1:15" x14ac:dyDescent="0.35">
      <c r="A38" s="1">
        <v>46016</v>
      </c>
      <c r="B38" s="2" t="s">
        <v>65</v>
      </c>
      <c r="C38" t="s">
        <v>16</v>
      </c>
      <c r="D38" t="s">
        <v>36</v>
      </c>
      <c r="E38">
        <v>5.99</v>
      </c>
      <c r="F38" t="s">
        <v>18</v>
      </c>
      <c r="G38">
        <v>5.99</v>
      </c>
      <c r="H38">
        <v>2025</v>
      </c>
      <c r="I38">
        <v>12</v>
      </c>
      <c r="J38" t="s">
        <v>66</v>
      </c>
      <c r="K38" s="1">
        <v>46016</v>
      </c>
      <c r="L38" t="s">
        <v>23</v>
      </c>
      <c r="M38" t="s">
        <v>39</v>
      </c>
      <c r="N38" t="b">
        <v>1</v>
      </c>
      <c r="O38">
        <v>27</v>
      </c>
    </row>
    <row r="39" spans="1:15" x14ac:dyDescent="0.35">
      <c r="A39" s="1">
        <v>45986</v>
      </c>
      <c r="B39" s="2" t="s">
        <v>67</v>
      </c>
      <c r="C39" t="s">
        <v>16</v>
      </c>
      <c r="D39" t="s">
        <v>36</v>
      </c>
      <c r="E39">
        <v>5.99</v>
      </c>
      <c r="F39" t="s">
        <v>18</v>
      </c>
      <c r="G39">
        <v>5.99</v>
      </c>
      <c r="H39">
        <v>2025</v>
      </c>
      <c r="I39">
        <v>11</v>
      </c>
      <c r="J39" t="s">
        <v>68</v>
      </c>
      <c r="K39" s="1">
        <v>45986</v>
      </c>
      <c r="L39" t="s">
        <v>50</v>
      </c>
      <c r="M39" t="s">
        <v>39</v>
      </c>
      <c r="N39" t="b">
        <v>1</v>
      </c>
      <c r="O39">
        <v>28</v>
      </c>
    </row>
    <row r="40" spans="1:15" x14ac:dyDescent="0.35">
      <c r="A40" s="1">
        <v>45955</v>
      </c>
      <c r="B40" s="2" t="s">
        <v>69</v>
      </c>
      <c r="C40" t="s">
        <v>16</v>
      </c>
      <c r="D40" t="s">
        <v>36</v>
      </c>
      <c r="E40">
        <v>5.99</v>
      </c>
      <c r="F40" t="s">
        <v>18</v>
      </c>
      <c r="G40">
        <v>5.99</v>
      </c>
      <c r="H40">
        <v>2025</v>
      </c>
      <c r="I40">
        <v>10</v>
      </c>
      <c r="J40" t="s">
        <v>57</v>
      </c>
      <c r="K40" s="1">
        <v>45955</v>
      </c>
      <c r="L40" t="s">
        <v>20</v>
      </c>
      <c r="M40" t="s">
        <v>39</v>
      </c>
      <c r="N40" t="b">
        <v>1</v>
      </c>
      <c r="O40">
        <v>29</v>
      </c>
    </row>
    <row r="41" spans="1:15" x14ac:dyDescent="0.35">
      <c r="A41" s="1">
        <v>45894</v>
      </c>
      <c r="B41" s="2" t="s">
        <v>70</v>
      </c>
      <c r="C41" t="s">
        <v>16</v>
      </c>
      <c r="D41" t="s">
        <v>36</v>
      </c>
      <c r="E41">
        <v>5.99</v>
      </c>
      <c r="F41" t="s">
        <v>18</v>
      </c>
      <c r="G41">
        <v>5.99</v>
      </c>
      <c r="H41">
        <v>2025</v>
      </c>
      <c r="I41">
        <v>8</v>
      </c>
      <c r="J41" t="s">
        <v>71</v>
      </c>
      <c r="K41" s="1">
        <v>45894</v>
      </c>
      <c r="L41" t="s">
        <v>38</v>
      </c>
      <c r="M41" t="s">
        <v>39</v>
      </c>
      <c r="N41" t="b">
        <v>1</v>
      </c>
      <c r="O41">
        <v>30</v>
      </c>
    </row>
    <row r="42" spans="1:15" x14ac:dyDescent="0.35">
      <c r="A42" s="1">
        <v>45863</v>
      </c>
      <c r="B42" s="2" t="s">
        <v>72</v>
      </c>
      <c r="C42" t="s">
        <v>16</v>
      </c>
      <c r="D42" t="s">
        <v>36</v>
      </c>
      <c r="E42">
        <v>5.99</v>
      </c>
      <c r="F42" t="s">
        <v>18</v>
      </c>
      <c r="G42">
        <v>5.99</v>
      </c>
      <c r="H42">
        <v>2025</v>
      </c>
      <c r="I42">
        <v>7</v>
      </c>
      <c r="J42" t="s">
        <v>73</v>
      </c>
      <c r="K42" s="1">
        <v>45863</v>
      </c>
      <c r="L42" t="s">
        <v>31</v>
      </c>
      <c r="M42" t="s">
        <v>39</v>
      </c>
      <c r="N42" t="b">
        <v>1</v>
      </c>
      <c r="O42">
        <v>31</v>
      </c>
    </row>
    <row r="43" spans="1:15" x14ac:dyDescent="0.35">
      <c r="A43" s="1">
        <v>45802</v>
      </c>
      <c r="B43" s="2" t="s">
        <v>74</v>
      </c>
      <c r="C43" t="s">
        <v>16</v>
      </c>
      <c r="D43" t="s">
        <v>36</v>
      </c>
      <c r="E43">
        <v>5.99</v>
      </c>
      <c r="F43" t="s">
        <v>18</v>
      </c>
      <c r="G43">
        <v>5.99</v>
      </c>
      <c r="H43">
        <v>2025</v>
      </c>
      <c r="I43">
        <v>5</v>
      </c>
      <c r="J43" t="s">
        <v>75</v>
      </c>
      <c r="K43" s="1">
        <v>45802</v>
      </c>
      <c r="L43" t="s">
        <v>41</v>
      </c>
      <c r="M43" t="s">
        <v>39</v>
      </c>
      <c r="N43" t="b">
        <v>1</v>
      </c>
      <c r="O43">
        <v>32</v>
      </c>
    </row>
    <row r="44" spans="1:15" x14ac:dyDescent="0.35">
      <c r="A44" s="1">
        <v>46090</v>
      </c>
      <c r="B44" s="2" t="s">
        <v>76</v>
      </c>
      <c r="C44" t="s">
        <v>16</v>
      </c>
      <c r="D44" t="s">
        <v>36</v>
      </c>
      <c r="E44">
        <v>10.84</v>
      </c>
      <c r="F44" t="s">
        <v>18</v>
      </c>
      <c r="G44">
        <v>10.84</v>
      </c>
      <c r="H44">
        <v>2026</v>
      </c>
      <c r="I44">
        <v>3</v>
      </c>
      <c r="J44" t="s">
        <v>48</v>
      </c>
      <c r="K44" s="1">
        <v>46090</v>
      </c>
      <c r="L44" t="s">
        <v>38</v>
      </c>
      <c r="M44" t="s">
        <v>39</v>
      </c>
      <c r="N44" t="b">
        <v>1</v>
      </c>
      <c r="O44">
        <v>36</v>
      </c>
    </row>
    <row r="45" spans="1:15" x14ac:dyDescent="0.35">
      <c r="A45" s="1">
        <v>46082</v>
      </c>
      <c r="B45" t="s">
        <v>77</v>
      </c>
      <c r="C45" t="s">
        <v>16</v>
      </c>
      <c r="D45" t="s">
        <v>36</v>
      </c>
      <c r="E45">
        <v>18.309999999999999</v>
      </c>
      <c r="F45" t="s">
        <v>18</v>
      </c>
      <c r="G45">
        <v>18.309999999999999</v>
      </c>
      <c r="H45">
        <v>2026</v>
      </c>
      <c r="I45">
        <v>3</v>
      </c>
      <c r="J45" t="s">
        <v>48</v>
      </c>
      <c r="K45" s="1">
        <v>46082</v>
      </c>
      <c r="L45" t="s">
        <v>41</v>
      </c>
      <c r="M45" t="s">
        <v>39</v>
      </c>
      <c r="N45" t="b">
        <v>1</v>
      </c>
      <c r="O45">
        <v>37</v>
      </c>
    </row>
    <row r="46" spans="1:15" x14ac:dyDescent="0.35">
      <c r="A46" s="1">
        <v>46082</v>
      </c>
      <c r="B46" s="2" t="s">
        <v>78</v>
      </c>
      <c r="C46" t="s">
        <v>16</v>
      </c>
      <c r="D46" t="s">
        <v>36</v>
      </c>
      <c r="E46">
        <v>7.58</v>
      </c>
      <c r="F46" t="s">
        <v>18</v>
      </c>
      <c r="G46">
        <v>7.58</v>
      </c>
      <c r="H46">
        <v>2026</v>
      </c>
      <c r="I46">
        <v>3</v>
      </c>
      <c r="J46" t="s">
        <v>48</v>
      </c>
      <c r="K46" s="1">
        <v>46082</v>
      </c>
      <c r="L46" t="s">
        <v>41</v>
      </c>
      <c r="M46" t="s">
        <v>39</v>
      </c>
      <c r="N46" t="b">
        <v>1</v>
      </c>
      <c r="O46">
        <v>38</v>
      </c>
    </row>
    <row r="47" spans="1:15" x14ac:dyDescent="0.35">
      <c r="A47" s="1">
        <v>46078</v>
      </c>
      <c r="B47" s="2" t="s">
        <v>79</v>
      </c>
      <c r="C47" t="s">
        <v>16</v>
      </c>
      <c r="D47" t="s">
        <v>36</v>
      </c>
      <c r="E47">
        <v>18.32</v>
      </c>
      <c r="F47" t="s">
        <v>18</v>
      </c>
      <c r="G47">
        <v>18.32</v>
      </c>
      <c r="H47">
        <v>2026</v>
      </c>
      <c r="I47">
        <v>2</v>
      </c>
      <c r="J47" t="s">
        <v>19</v>
      </c>
      <c r="K47" s="1">
        <v>46078</v>
      </c>
      <c r="L47" t="s">
        <v>58</v>
      </c>
      <c r="M47" t="s">
        <v>39</v>
      </c>
      <c r="N47" t="b">
        <v>1</v>
      </c>
      <c r="O47">
        <v>39</v>
      </c>
    </row>
    <row r="48" spans="1:15" x14ac:dyDescent="0.35">
      <c r="A48" s="1">
        <v>46073</v>
      </c>
      <c r="B48" t="s">
        <v>80</v>
      </c>
      <c r="C48" t="s">
        <v>16</v>
      </c>
      <c r="D48" t="s">
        <v>36</v>
      </c>
      <c r="E48">
        <v>14.99</v>
      </c>
      <c r="F48" t="s">
        <v>18</v>
      </c>
      <c r="G48">
        <v>14.99</v>
      </c>
      <c r="H48">
        <v>2026</v>
      </c>
      <c r="I48">
        <v>2</v>
      </c>
      <c r="J48" t="s">
        <v>19</v>
      </c>
      <c r="K48" s="1">
        <v>46073</v>
      </c>
      <c r="L48" t="s">
        <v>31</v>
      </c>
      <c r="M48" t="s">
        <v>39</v>
      </c>
      <c r="N48" t="b">
        <v>1</v>
      </c>
      <c r="O48">
        <v>49</v>
      </c>
    </row>
    <row r="49" spans="1:15" x14ac:dyDescent="0.35">
      <c r="A49" s="1">
        <v>46053</v>
      </c>
      <c r="B49" s="2" t="s">
        <v>81</v>
      </c>
      <c r="C49" t="s">
        <v>16</v>
      </c>
      <c r="D49" t="s">
        <v>36</v>
      </c>
      <c r="E49">
        <v>13.01</v>
      </c>
      <c r="F49" t="s">
        <v>18</v>
      </c>
      <c r="G49">
        <v>13.01</v>
      </c>
      <c r="H49">
        <v>2026</v>
      </c>
      <c r="I49">
        <v>1</v>
      </c>
      <c r="J49" t="s">
        <v>24</v>
      </c>
      <c r="K49" s="1">
        <v>46053</v>
      </c>
      <c r="L49" t="s">
        <v>20</v>
      </c>
      <c r="M49" t="s">
        <v>39</v>
      </c>
      <c r="N49" t="b">
        <v>1</v>
      </c>
      <c r="O49">
        <v>51</v>
      </c>
    </row>
    <row r="50" spans="1:15" x14ac:dyDescent="0.35">
      <c r="A50" s="1">
        <v>46052</v>
      </c>
      <c r="B50" s="2" t="s">
        <v>82</v>
      </c>
      <c r="C50" t="s">
        <v>16</v>
      </c>
      <c r="D50" t="s">
        <v>36</v>
      </c>
      <c r="E50">
        <v>203.83</v>
      </c>
      <c r="F50" t="s">
        <v>18</v>
      </c>
      <c r="G50">
        <v>203.83</v>
      </c>
      <c r="H50">
        <v>2026</v>
      </c>
      <c r="I50">
        <v>1</v>
      </c>
      <c r="J50" t="s">
        <v>24</v>
      </c>
      <c r="K50" s="1">
        <v>46052</v>
      </c>
      <c r="L50" t="s">
        <v>31</v>
      </c>
      <c r="M50" t="s">
        <v>39</v>
      </c>
      <c r="N50" t="b">
        <v>1</v>
      </c>
      <c r="O50">
        <v>60</v>
      </c>
    </row>
    <row r="51" spans="1:15" x14ac:dyDescent="0.35">
      <c r="A51" s="1">
        <v>46052</v>
      </c>
      <c r="B51" t="s">
        <v>83</v>
      </c>
      <c r="C51" t="s">
        <v>16</v>
      </c>
      <c r="D51" t="s">
        <v>36</v>
      </c>
      <c r="E51">
        <v>76.88</v>
      </c>
      <c r="F51" t="s">
        <v>18</v>
      </c>
      <c r="G51">
        <v>76.88</v>
      </c>
      <c r="H51">
        <v>2026</v>
      </c>
      <c r="I51">
        <v>1</v>
      </c>
      <c r="J51" t="s">
        <v>24</v>
      </c>
      <c r="K51" s="1">
        <v>46052</v>
      </c>
      <c r="L51" t="s">
        <v>31</v>
      </c>
      <c r="M51" t="s">
        <v>39</v>
      </c>
      <c r="N51" t="b">
        <v>1</v>
      </c>
      <c r="O51">
        <v>61</v>
      </c>
    </row>
    <row r="52" spans="1:15" x14ac:dyDescent="0.35">
      <c r="A52" s="1">
        <v>45921</v>
      </c>
      <c r="B52" t="s">
        <v>84</v>
      </c>
      <c r="C52" t="s">
        <v>16</v>
      </c>
      <c r="D52" t="s">
        <v>36</v>
      </c>
      <c r="E52">
        <v>13.53</v>
      </c>
      <c r="F52" t="s">
        <v>84</v>
      </c>
      <c r="G52">
        <v>13.53</v>
      </c>
      <c r="H52">
        <v>2025</v>
      </c>
      <c r="I52">
        <v>9</v>
      </c>
      <c r="J52" t="s">
        <v>30</v>
      </c>
      <c r="K52" s="1">
        <v>45921</v>
      </c>
      <c r="L52" t="s">
        <v>41</v>
      </c>
      <c r="M52" t="s">
        <v>39</v>
      </c>
      <c r="N52" t="b">
        <v>1</v>
      </c>
      <c r="O52">
        <v>269</v>
      </c>
    </row>
    <row r="53" spans="1:15" x14ac:dyDescent="0.35">
      <c r="A53" s="1">
        <v>46074</v>
      </c>
      <c r="B53" s="2" t="s">
        <v>85</v>
      </c>
      <c r="C53" t="s">
        <v>16</v>
      </c>
      <c r="D53" t="s">
        <v>17</v>
      </c>
      <c r="E53">
        <v>-29.35</v>
      </c>
      <c r="F53" t="s">
        <v>18</v>
      </c>
      <c r="G53">
        <v>29.35</v>
      </c>
      <c r="H53">
        <v>2026</v>
      </c>
      <c r="I53">
        <v>2</v>
      </c>
      <c r="J53" t="s">
        <v>19</v>
      </c>
      <c r="K53" s="1">
        <v>46074</v>
      </c>
      <c r="L53" t="s">
        <v>20</v>
      </c>
      <c r="M53" t="s">
        <v>21</v>
      </c>
      <c r="N53" t="b">
        <v>1</v>
      </c>
      <c r="O53">
        <v>47</v>
      </c>
    </row>
    <row r="54" spans="1:15" x14ac:dyDescent="0.35">
      <c r="A54" s="1">
        <v>46052</v>
      </c>
      <c r="B54" s="2" t="s">
        <v>86</v>
      </c>
      <c r="C54" t="s">
        <v>16</v>
      </c>
      <c r="D54" t="s">
        <v>17</v>
      </c>
      <c r="E54">
        <v>-17.510000000000002</v>
      </c>
      <c r="F54" t="s">
        <v>18</v>
      </c>
      <c r="G54">
        <v>17.510000000000002</v>
      </c>
      <c r="H54">
        <v>2026</v>
      </c>
      <c r="I54">
        <v>1</v>
      </c>
      <c r="J54" t="s">
        <v>24</v>
      </c>
      <c r="K54" s="1">
        <v>46052</v>
      </c>
      <c r="L54" t="s">
        <v>31</v>
      </c>
      <c r="M54" t="s">
        <v>21</v>
      </c>
      <c r="N54" t="b">
        <v>1</v>
      </c>
      <c r="O54">
        <v>64</v>
      </c>
    </row>
    <row r="55" spans="1:15" x14ac:dyDescent="0.35">
      <c r="A55" s="1">
        <v>46052</v>
      </c>
      <c r="B55" s="2" t="s">
        <v>87</v>
      </c>
      <c r="C55" t="s">
        <v>16</v>
      </c>
      <c r="D55" t="s">
        <v>17</v>
      </c>
      <c r="E55">
        <v>-21.66</v>
      </c>
      <c r="F55" t="s">
        <v>18</v>
      </c>
      <c r="G55">
        <v>21.66</v>
      </c>
      <c r="H55">
        <v>2026</v>
      </c>
      <c r="I55">
        <v>1</v>
      </c>
      <c r="J55" t="s">
        <v>24</v>
      </c>
      <c r="K55" s="1">
        <v>46052</v>
      </c>
      <c r="L55" t="s">
        <v>31</v>
      </c>
      <c r="M55" t="s">
        <v>21</v>
      </c>
      <c r="N55" t="b">
        <v>1</v>
      </c>
      <c r="O55">
        <v>65</v>
      </c>
    </row>
    <row r="56" spans="1:15" x14ac:dyDescent="0.35">
      <c r="A56" s="1">
        <v>46052</v>
      </c>
      <c r="B56" s="2" t="s">
        <v>88</v>
      </c>
      <c r="C56" t="s">
        <v>16</v>
      </c>
      <c r="D56" t="s">
        <v>17</v>
      </c>
      <c r="E56">
        <v>-36.119999999999997</v>
      </c>
      <c r="F56" t="s">
        <v>18</v>
      </c>
      <c r="G56">
        <v>36.119999999999997</v>
      </c>
      <c r="H56">
        <v>2026</v>
      </c>
      <c r="I56">
        <v>1</v>
      </c>
      <c r="J56" t="s">
        <v>24</v>
      </c>
      <c r="K56" s="1">
        <v>46052</v>
      </c>
      <c r="L56" t="s">
        <v>31</v>
      </c>
      <c r="M56" t="s">
        <v>21</v>
      </c>
      <c r="N56" t="b">
        <v>1</v>
      </c>
      <c r="O56">
        <v>66</v>
      </c>
    </row>
    <row r="57" spans="1:15" x14ac:dyDescent="0.35">
      <c r="A57" s="1">
        <v>46052</v>
      </c>
      <c r="B57" s="2" t="s">
        <v>89</v>
      </c>
      <c r="C57" t="s">
        <v>16</v>
      </c>
      <c r="D57" t="s">
        <v>17</v>
      </c>
      <c r="E57">
        <v>-39.049999999999997</v>
      </c>
      <c r="F57" t="s">
        <v>18</v>
      </c>
      <c r="G57">
        <v>39.049999999999997</v>
      </c>
      <c r="H57">
        <v>2026</v>
      </c>
      <c r="I57">
        <v>1</v>
      </c>
      <c r="J57" t="s">
        <v>24</v>
      </c>
      <c r="K57" s="1">
        <v>46052</v>
      </c>
      <c r="L57" t="s">
        <v>31</v>
      </c>
      <c r="M57" t="s">
        <v>21</v>
      </c>
      <c r="N57" t="b">
        <v>1</v>
      </c>
      <c r="O57">
        <v>67</v>
      </c>
    </row>
    <row r="58" spans="1:15" x14ac:dyDescent="0.35">
      <c r="A58" s="1">
        <v>46037</v>
      </c>
      <c r="B58" t="s">
        <v>90</v>
      </c>
      <c r="C58" t="s">
        <v>16</v>
      </c>
      <c r="D58" t="s">
        <v>17</v>
      </c>
      <c r="E58">
        <v>-11.84</v>
      </c>
      <c r="F58" t="s">
        <v>18</v>
      </c>
      <c r="G58">
        <v>11.84</v>
      </c>
      <c r="H58">
        <v>2026</v>
      </c>
      <c r="I58">
        <v>1</v>
      </c>
      <c r="J58" t="s">
        <v>24</v>
      </c>
      <c r="K58" s="1">
        <v>46037</v>
      </c>
      <c r="L58" t="s">
        <v>23</v>
      </c>
      <c r="M58" t="s">
        <v>21</v>
      </c>
      <c r="N58" t="b">
        <v>1</v>
      </c>
      <c r="O58">
        <v>71</v>
      </c>
    </row>
    <row r="59" spans="1:15" x14ac:dyDescent="0.35">
      <c r="A59" s="1">
        <v>46022</v>
      </c>
      <c r="B59" s="2" t="s">
        <v>91</v>
      </c>
      <c r="C59" t="s">
        <v>16</v>
      </c>
      <c r="D59" t="s">
        <v>17</v>
      </c>
      <c r="E59">
        <v>-14.11</v>
      </c>
      <c r="F59" t="s">
        <v>18</v>
      </c>
      <c r="G59">
        <v>14.11</v>
      </c>
      <c r="H59">
        <v>2025</v>
      </c>
      <c r="I59">
        <v>12</v>
      </c>
      <c r="J59" t="s">
        <v>66</v>
      </c>
      <c r="K59" s="1">
        <v>46022</v>
      </c>
      <c r="L59" t="s">
        <v>58</v>
      </c>
      <c r="M59" t="s">
        <v>21</v>
      </c>
      <c r="N59" t="b">
        <v>1</v>
      </c>
      <c r="O59">
        <v>75</v>
      </c>
    </row>
    <row r="60" spans="1:15" x14ac:dyDescent="0.35">
      <c r="A60" s="1">
        <v>46022</v>
      </c>
      <c r="B60" s="2" t="s">
        <v>92</v>
      </c>
      <c r="C60" t="s">
        <v>16</v>
      </c>
      <c r="D60" t="s">
        <v>17</v>
      </c>
      <c r="E60">
        <v>-14.37</v>
      </c>
      <c r="F60" t="s">
        <v>18</v>
      </c>
      <c r="G60">
        <v>14.37</v>
      </c>
      <c r="H60">
        <v>2025</v>
      </c>
      <c r="I60">
        <v>12</v>
      </c>
      <c r="J60" t="s">
        <v>66</v>
      </c>
      <c r="K60" s="1">
        <v>46022</v>
      </c>
      <c r="L60" t="s">
        <v>58</v>
      </c>
      <c r="M60" t="s">
        <v>21</v>
      </c>
      <c r="N60" t="b">
        <v>1</v>
      </c>
      <c r="O60">
        <v>76</v>
      </c>
    </row>
    <row r="61" spans="1:15" x14ac:dyDescent="0.35">
      <c r="A61" s="1">
        <v>45962</v>
      </c>
      <c r="B61" s="2" t="s">
        <v>93</v>
      </c>
      <c r="C61" t="s">
        <v>16</v>
      </c>
      <c r="D61" t="s">
        <v>17</v>
      </c>
      <c r="E61">
        <v>-11.84</v>
      </c>
      <c r="F61" t="s">
        <v>18</v>
      </c>
      <c r="G61">
        <v>11.84</v>
      </c>
      <c r="H61">
        <v>2025</v>
      </c>
      <c r="I61">
        <v>11</v>
      </c>
      <c r="J61" t="s">
        <v>68</v>
      </c>
      <c r="K61" s="1">
        <v>45962</v>
      </c>
      <c r="L61" t="s">
        <v>20</v>
      </c>
      <c r="M61" t="s">
        <v>21</v>
      </c>
      <c r="N61" t="b">
        <v>1</v>
      </c>
      <c r="O61">
        <v>86</v>
      </c>
    </row>
    <row r="62" spans="1:15" x14ac:dyDescent="0.35">
      <c r="A62" s="1">
        <v>45962</v>
      </c>
      <c r="B62" s="2" t="s">
        <v>94</v>
      </c>
      <c r="C62" t="s">
        <v>16</v>
      </c>
      <c r="D62" t="s">
        <v>17</v>
      </c>
      <c r="E62">
        <v>-29.28</v>
      </c>
      <c r="F62" t="s">
        <v>18</v>
      </c>
      <c r="G62">
        <v>29.28</v>
      </c>
      <c r="H62">
        <v>2025</v>
      </c>
      <c r="I62">
        <v>11</v>
      </c>
      <c r="J62" t="s">
        <v>68</v>
      </c>
      <c r="K62" s="1">
        <v>45962</v>
      </c>
      <c r="L62" t="s">
        <v>20</v>
      </c>
      <c r="M62" t="s">
        <v>21</v>
      </c>
      <c r="N62" t="b">
        <v>1</v>
      </c>
      <c r="O62">
        <v>87</v>
      </c>
    </row>
    <row r="63" spans="1:15" x14ac:dyDescent="0.35">
      <c r="A63" s="1">
        <v>45962</v>
      </c>
      <c r="B63" s="2" t="s">
        <v>95</v>
      </c>
      <c r="C63" t="s">
        <v>16</v>
      </c>
      <c r="D63" t="s">
        <v>17</v>
      </c>
      <c r="E63">
        <v>-31.45</v>
      </c>
      <c r="F63" t="s">
        <v>18</v>
      </c>
      <c r="G63">
        <v>31.45</v>
      </c>
      <c r="H63">
        <v>2025</v>
      </c>
      <c r="I63">
        <v>11</v>
      </c>
      <c r="J63" t="s">
        <v>68</v>
      </c>
      <c r="K63" s="1">
        <v>45962</v>
      </c>
      <c r="L63" t="s">
        <v>20</v>
      </c>
      <c r="M63" t="s">
        <v>21</v>
      </c>
      <c r="N63" t="b">
        <v>1</v>
      </c>
      <c r="O63">
        <v>88</v>
      </c>
    </row>
    <row r="64" spans="1:15" x14ac:dyDescent="0.35">
      <c r="A64" s="1">
        <v>45962</v>
      </c>
      <c r="B64" s="2" t="s">
        <v>96</v>
      </c>
      <c r="C64" t="s">
        <v>16</v>
      </c>
      <c r="D64" t="s">
        <v>17</v>
      </c>
      <c r="E64">
        <v>-41.2</v>
      </c>
      <c r="F64" t="s">
        <v>18</v>
      </c>
      <c r="G64">
        <v>41.2</v>
      </c>
      <c r="H64">
        <v>2025</v>
      </c>
      <c r="I64">
        <v>11</v>
      </c>
      <c r="J64" t="s">
        <v>68</v>
      </c>
      <c r="K64" s="1">
        <v>45962</v>
      </c>
      <c r="L64" t="s">
        <v>20</v>
      </c>
      <c r="M64" t="s">
        <v>21</v>
      </c>
      <c r="N64" t="b">
        <v>1</v>
      </c>
      <c r="O64">
        <v>89</v>
      </c>
    </row>
    <row r="65" spans="1:15" x14ac:dyDescent="0.35">
      <c r="A65" s="1">
        <v>45962</v>
      </c>
      <c r="B65" s="2" t="s">
        <v>97</v>
      </c>
      <c r="C65" t="s">
        <v>16</v>
      </c>
      <c r="D65" t="s">
        <v>17</v>
      </c>
      <c r="E65">
        <v>-56.4</v>
      </c>
      <c r="F65" t="s">
        <v>18</v>
      </c>
      <c r="G65">
        <v>56.4</v>
      </c>
      <c r="H65">
        <v>2025</v>
      </c>
      <c r="I65">
        <v>11</v>
      </c>
      <c r="J65" t="s">
        <v>68</v>
      </c>
      <c r="K65" s="1">
        <v>45962</v>
      </c>
      <c r="L65" t="s">
        <v>20</v>
      </c>
      <c r="M65" t="s">
        <v>21</v>
      </c>
      <c r="N65" t="b">
        <v>1</v>
      </c>
      <c r="O65">
        <v>90</v>
      </c>
    </row>
    <row r="66" spans="1:15" x14ac:dyDescent="0.35">
      <c r="A66" s="1">
        <v>45962</v>
      </c>
      <c r="B66" s="2" t="s">
        <v>98</v>
      </c>
      <c r="C66" t="s">
        <v>16</v>
      </c>
      <c r="D66" t="s">
        <v>17</v>
      </c>
      <c r="E66">
        <v>-66.28</v>
      </c>
      <c r="F66" t="s">
        <v>18</v>
      </c>
      <c r="G66">
        <v>66.28</v>
      </c>
      <c r="H66">
        <v>2025</v>
      </c>
      <c r="I66">
        <v>11</v>
      </c>
      <c r="J66" t="s">
        <v>68</v>
      </c>
      <c r="K66" s="1">
        <v>45962</v>
      </c>
      <c r="L66" t="s">
        <v>20</v>
      </c>
      <c r="M66" t="s">
        <v>21</v>
      </c>
      <c r="N66" t="b">
        <v>1</v>
      </c>
      <c r="O66">
        <v>91</v>
      </c>
    </row>
    <row r="67" spans="1:15" x14ac:dyDescent="0.35">
      <c r="A67" s="1">
        <v>45962</v>
      </c>
      <c r="B67" s="2" t="s">
        <v>99</v>
      </c>
      <c r="C67" t="s">
        <v>16</v>
      </c>
      <c r="D67" t="s">
        <v>17</v>
      </c>
      <c r="E67">
        <v>-70.569999999999993</v>
      </c>
      <c r="F67" t="s">
        <v>18</v>
      </c>
      <c r="G67">
        <v>70.569999999999993</v>
      </c>
      <c r="H67">
        <v>2025</v>
      </c>
      <c r="I67">
        <v>11</v>
      </c>
      <c r="J67" t="s">
        <v>68</v>
      </c>
      <c r="K67" s="1">
        <v>45962</v>
      </c>
      <c r="L67" t="s">
        <v>20</v>
      </c>
      <c r="M67" t="s">
        <v>21</v>
      </c>
      <c r="N67" t="b">
        <v>1</v>
      </c>
      <c r="O67">
        <v>92</v>
      </c>
    </row>
    <row r="68" spans="1:15" x14ac:dyDescent="0.35">
      <c r="A68" s="1">
        <v>46052</v>
      </c>
      <c r="B68" s="2" t="s">
        <v>100</v>
      </c>
      <c r="C68" t="s">
        <v>16</v>
      </c>
      <c r="D68" t="s">
        <v>36</v>
      </c>
      <c r="E68">
        <v>19.52</v>
      </c>
      <c r="F68" t="s">
        <v>18</v>
      </c>
      <c r="G68">
        <v>19.52</v>
      </c>
      <c r="H68">
        <v>2026</v>
      </c>
      <c r="I68">
        <v>1</v>
      </c>
      <c r="J68" t="s">
        <v>24</v>
      </c>
      <c r="K68" s="1">
        <v>46052</v>
      </c>
      <c r="L68" t="s">
        <v>31</v>
      </c>
      <c r="M68" t="s">
        <v>39</v>
      </c>
      <c r="N68" t="b">
        <v>1</v>
      </c>
      <c r="O68">
        <v>62</v>
      </c>
    </row>
    <row r="69" spans="1:15" x14ac:dyDescent="0.35">
      <c r="A69" s="1">
        <v>46052</v>
      </c>
      <c r="B69" s="2" t="s">
        <v>101</v>
      </c>
      <c r="C69" t="s">
        <v>16</v>
      </c>
      <c r="D69" t="s">
        <v>36</v>
      </c>
      <c r="E69">
        <v>8.4600000000000009</v>
      </c>
      <c r="F69" t="s">
        <v>18</v>
      </c>
      <c r="G69">
        <v>8.4600000000000009</v>
      </c>
      <c r="H69">
        <v>2026</v>
      </c>
      <c r="I69">
        <v>1</v>
      </c>
      <c r="J69" t="s">
        <v>24</v>
      </c>
      <c r="K69" s="1">
        <v>46052</v>
      </c>
      <c r="L69" t="s">
        <v>31</v>
      </c>
      <c r="M69" t="s">
        <v>39</v>
      </c>
      <c r="N69" t="b">
        <v>1</v>
      </c>
      <c r="O69">
        <v>63</v>
      </c>
    </row>
    <row r="70" spans="1:15" x14ac:dyDescent="0.35">
      <c r="A70" s="1">
        <v>46065</v>
      </c>
      <c r="B70" t="s">
        <v>84</v>
      </c>
      <c r="C70" t="s">
        <v>16</v>
      </c>
      <c r="D70" t="s">
        <v>36</v>
      </c>
      <c r="E70">
        <v>57.96</v>
      </c>
      <c r="F70" t="s">
        <v>84</v>
      </c>
      <c r="G70">
        <v>57.96</v>
      </c>
      <c r="H70">
        <v>2026</v>
      </c>
      <c r="I70">
        <v>2</v>
      </c>
      <c r="J70" t="s">
        <v>19</v>
      </c>
      <c r="K70" s="1">
        <v>46065</v>
      </c>
      <c r="L70" t="s">
        <v>23</v>
      </c>
      <c r="M70" t="s">
        <v>39</v>
      </c>
      <c r="N70" t="b">
        <v>1</v>
      </c>
      <c r="O70">
        <v>68</v>
      </c>
    </row>
    <row r="71" spans="1:15" x14ac:dyDescent="0.35">
      <c r="A71" s="1">
        <v>46049</v>
      </c>
      <c r="B71" t="s">
        <v>102</v>
      </c>
      <c r="C71" t="s">
        <v>16</v>
      </c>
      <c r="D71" t="s">
        <v>36</v>
      </c>
      <c r="E71">
        <v>8.2100000000000009</v>
      </c>
      <c r="F71" t="s">
        <v>18</v>
      </c>
      <c r="G71">
        <v>8.2100000000000009</v>
      </c>
      <c r="H71">
        <v>2026</v>
      </c>
      <c r="I71">
        <v>1</v>
      </c>
      <c r="J71" t="s">
        <v>24</v>
      </c>
      <c r="K71" s="1">
        <v>46049</v>
      </c>
      <c r="L71" t="s">
        <v>50</v>
      </c>
      <c r="M71" t="s">
        <v>39</v>
      </c>
      <c r="N71" t="b">
        <v>1</v>
      </c>
      <c r="O71">
        <v>69</v>
      </c>
    </row>
    <row r="72" spans="1:15" x14ac:dyDescent="0.35">
      <c r="A72" s="1">
        <v>46048</v>
      </c>
      <c r="B72" s="2" t="s">
        <v>103</v>
      </c>
      <c r="C72" t="s">
        <v>16</v>
      </c>
      <c r="D72" t="s">
        <v>36</v>
      </c>
      <c r="E72">
        <v>220.66</v>
      </c>
      <c r="F72" t="s">
        <v>18</v>
      </c>
      <c r="G72">
        <v>220.66</v>
      </c>
      <c r="H72">
        <v>2026</v>
      </c>
      <c r="I72">
        <v>1</v>
      </c>
      <c r="J72" t="s">
        <v>24</v>
      </c>
      <c r="K72" s="1">
        <v>46048</v>
      </c>
      <c r="L72" t="s">
        <v>38</v>
      </c>
      <c r="M72" t="s">
        <v>39</v>
      </c>
      <c r="N72" t="b">
        <v>1</v>
      </c>
      <c r="O72">
        <v>70</v>
      </c>
    </row>
    <row r="73" spans="1:15" x14ac:dyDescent="0.35">
      <c r="A73" s="1">
        <v>46036</v>
      </c>
      <c r="B73" s="2" t="s">
        <v>104</v>
      </c>
      <c r="C73" t="s">
        <v>16</v>
      </c>
      <c r="D73" t="s">
        <v>36</v>
      </c>
      <c r="E73">
        <v>11.84</v>
      </c>
      <c r="F73" t="s">
        <v>18</v>
      </c>
      <c r="G73">
        <v>11.84</v>
      </c>
      <c r="H73">
        <v>2026</v>
      </c>
      <c r="I73">
        <v>1</v>
      </c>
      <c r="J73" t="s">
        <v>24</v>
      </c>
      <c r="K73" s="1">
        <v>46036</v>
      </c>
      <c r="L73" t="s">
        <v>58</v>
      </c>
      <c r="M73" t="s">
        <v>39</v>
      </c>
      <c r="N73" t="b">
        <v>1</v>
      </c>
      <c r="O73">
        <v>72</v>
      </c>
    </row>
    <row r="74" spans="1:15" x14ac:dyDescent="0.35">
      <c r="A74" s="1">
        <v>46032</v>
      </c>
      <c r="B74" s="2" t="s">
        <v>105</v>
      </c>
      <c r="C74" t="s">
        <v>16</v>
      </c>
      <c r="D74" t="s">
        <v>36</v>
      </c>
      <c r="E74">
        <v>8.1300000000000008</v>
      </c>
      <c r="F74" t="s">
        <v>18</v>
      </c>
      <c r="G74">
        <v>8.1300000000000008</v>
      </c>
      <c r="H74">
        <v>2026</v>
      </c>
      <c r="I74">
        <v>1</v>
      </c>
      <c r="J74" t="s">
        <v>24</v>
      </c>
      <c r="K74" s="1">
        <v>46032</v>
      </c>
      <c r="L74" t="s">
        <v>20</v>
      </c>
      <c r="M74" t="s">
        <v>39</v>
      </c>
      <c r="N74" t="b">
        <v>1</v>
      </c>
      <c r="O74">
        <v>73</v>
      </c>
    </row>
    <row r="75" spans="1:15" x14ac:dyDescent="0.35">
      <c r="A75" s="1">
        <v>46031</v>
      </c>
      <c r="B75" s="2" t="s">
        <v>106</v>
      </c>
      <c r="C75" t="s">
        <v>16</v>
      </c>
      <c r="D75" t="s">
        <v>36</v>
      </c>
      <c r="E75">
        <v>67.31</v>
      </c>
      <c r="F75" t="s">
        <v>18</v>
      </c>
      <c r="G75">
        <v>67.31</v>
      </c>
      <c r="H75">
        <v>2026</v>
      </c>
      <c r="I75">
        <v>1</v>
      </c>
      <c r="J75" t="s">
        <v>24</v>
      </c>
      <c r="K75" s="1">
        <v>46031</v>
      </c>
      <c r="L75" t="s">
        <v>31</v>
      </c>
      <c r="M75" t="s">
        <v>39</v>
      </c>
      <c r="N75" t="b">
        <v>1</v>
      </c>
      <c r="O75">
        <v>74</v>
      </c>
    </row>
    <row r="76" spans="1:15" x14ac:dyDescent="0.35">
      <c r="A76" s="1">
        <v>46013</v>
      </c>
      <c r="B76" s="2" t="s">
        <v>107</v>
      </c>
      <c r="C76" t="s">
        <v>16</v>
      </c>
      <c r="D76" t="s">
        <v>36</v>
      </c>
      <c r="E76">
        <v>13.5</v>
      </c>
      <c r="F76" t="s">
        <v>18</v>
      </c>
      <c r="G76">
        <v>13.5</v>
      </c>
      <c r="H76">
        <v>2025</v>
      </c>
      <c r="I76">
        <v>12</v>
      </c>
      <c r="J76" t="s">
        <v>66</v>
      </c>
      <c r="K76" s="1">
        <v>46013</v>
      </c>
      <c r="L76" t="s">
        <v>38</v>
      </c>
      <c r="M76" t="s">
        <v>39</v>
      </c>
      <c r="N76" t="b">
        <v>1</v>
      </c>
      <c r="O76">
        <v>77</v>
      </c>
    </row>
    <row r="77" spans="1:15" x14ac:dyDescent="0.35">
      <c r="A77" s="1">
        <v>46012</v>
      </c>
      <c r="B77" s="2" t="s">
        <v>108</v>
      </c>
      <c r="C77" t="s">
        <v>16</v>
      </c>
      <c r="D77" t="s">
        <v>36</v>
      </c>
      <c r="E77">
        <v>27.11</v>
      </c>
      <c r="F77" t="s">
        <v>18</v>
      </c>
      <c r="G77">
        <v>27.11</v>
      </c>
      <c r="H77">
        <v>2025</v>
      </c>
      <c r="I77">
        <v>12</v>
      </c>
      <c r="J77" t="s">
        <v>66</v>
      </c>
      <c r="K77" s="1">
        <v>46012</v>
      </c>
      <c r="L77" t="s">
        <v>41</v>
      </c>
      <c r="M77" t="s">
        <v>39</v>
      </c>
      <c r="N77" t="b">
        <v>1</v>
      </c>
      <c r="O77">
        <v>78</v>
      </c>
    </row>
    <row r="78" spans="1:15" x14ac:dyDescent="0.35">
      <c r="A78" s="1">
        <v>46011</v>
      </c>
      <c r="B78" s="2" t="s">
        <v>109</v>
      </c>
      <c r="C78" t="s">
        <v>16</v>
      </c>
      <c r="D78" t="s">
        <v>36</v>
      </c>
      <c r="E78">
        <v>14.99</v>
      </c>
      <c r="F78" t="s">
        <v>18</v>
      </c>
      <c r="G78">
        <v>14.99</v>
      </c>
      <c r="H78">
        <v>2025</v>
      </c>
      <c r="I78">
        <v>12</v>
      </c>
      <c r="J78" t="s">
        <v>66</v>
      </c>
      <c r="K78" s="1">
        <v>46011</v>
      </c>
      <c r="L78" t="s">
        <v>20</v>
      </c>
      <c r="M78" t="s">
        <v>39</v>
      </c>
      <c r="N78" t="b">
        <v>1</v>
      </c>
      <c r="O78">
        <v>79</v>
      </c>
    </row>
    <row r="79" spans="1:15" x14ac:dyDescent="0.35">
      <c r="A79" s="1">
        <v>45997</v>
      </c>
      <c r="B79" s="2" t="s">
        <v>110</v>
      </c>
      <c r="C79" t="s">
        <v>16</v>
      </c>
      <c r="D79" t="s">
        <v>36</v>
      </c>
      <c r="E79">
        <v>154.6</v>
      </c>
      <c r="F79" t="s">
        <v>18</v>
      </c>
      <c r="G79">
        <v>154.6</v>
      </c>
      <c r="H79">
        <v>2025</v>
      </c>
      <c r="I79">
        <v>12</v>
      </c>
      <c r="J79" t="s">
        <v>66</v>
      </c>
      <c r="K79" s="1">
        <v>45997</v>
      </c>
      <c r="L79" t="s">
        <v>20</v>
      </c>
      <c r="M79" t="s">
        <v>39</v>
      </c>
      <c r="N79" t="b">
        <v>1</v>
      </c>
      <c r="O79">
        <v>80</v>
      </c>
    </row>
    <row r="80" spans="1:15" x14ac:dyDescent="0.35">
      <c r="A80" s="1">
        <v>45997</v>
      </c>
      <c r="B80" s="2" t="s">
        <v>111</v>
      </c>
      <c r="C80" t="s">
        <v>16</v>
      </c>
      <c r="D80" t="s">
        <v>36</v>
      </c>
      <c r="E80">
        <v>28.22</v>
      </c>
      <c r="F80" t="s">
        <v>18</v>
      </c>
      <c r="G80">
        <v>28.22</v>
      </c>
      <c r="H80">
        <v>2025</v>
      </c>
      <c r="I80">
        <v>12</v>
      </c>
      <c r="J80" t="s">
        <v>66</v>
      </c>
      <c r="K80" s="1">
        <v>45997</v>
      </c>
      <c r="L80" t="s">
        <v>20</v>
      </c>
      <c r="M80" t="s">
        <v>39</v>
      </c>
      <c r="N80" t="b">
        <v>1</v>
      </c>
      <c r="O80">
        <v>81</v>
      </c>
    </row>
    <row r="81" spans="1:15" x14ac:dyDescent="0.35">
      <c r="A81" s="1">
        <v>45997</v>
      </c>
      <c r="B81" s="2" t="s">
        <v>112</v>
      </c>
      <c r="C81" t="s">
        <v>16</v>
      </c>
      <c r="D81" t="s">
        <v>36</v>
      </c>
      <c r="E81">
        <v>10.68</v>
      </c>
      <c r="F81" t="s">
        <v>18</v>
      </c>
      <c r="G81">
        <v>10.68</v>
      </c>
      <c r="H81">
        <v>2025</v>
      </c>
      <c r="I81">
        <v>12</v>
      </c>
      <c r="J81" t="s">
        <v>66</v>
      </c>
      <c r="K81" s="1">
        <v>45997</v>
      </c>
      <c r="L81" t="s">
        <v>20</v>
      </c>
      <c r="M81" t="s">
        <v>39</v>
      </c>
      <c r="N81" t="b">
        <v>1</v>
      </c>
      <c r="O81">
        <v>82</v>
      </c>
    </row>
    <row r="82" spans="1:15" x14ac:dyDescent="0.35">
      <c r="A82" s="1">
        <v>45997</v>
      </c>
      <c r="B82" s="2" t="s">
        <v>113</v>
      </c>
      <c r="C82" t="s">
        <v>16</v>
      </c>
      <c r="D82" t="s">
        <v>36</v>
      </c>
      <c r="E82">
        <v>8.67</v>
      </c>
      <c r="F82" t="s">
        <v>18</v>
      </c>
      <c r="G82">
        <v>8.67</v>
      </c>
      <c r="H82">
        <v>2025</v>
      </c>
      <c r="I82">
        <v>12</v>
      </c>
      <c r="J82" t="s">
        <v>66</v>
      </c>
      <c r="K82" s="1">
        <v>45997</v>
      </c>
      <c r="L82" t="s">
        <v>20</v>
      </c>
      <c r="M82" t="s">
        <v>39</v>
      </c>
      <c r="N82" t="b">
        <v>1</v>
      </c>
      <c r="O82">
        <v>83</v>
      </c>
    </row>
    <row r="83" spans="1:15" x14ac:dyDescent="0.35">
      <c r="A83" s="1">
        <v>45985</v>
      </c>
      <c r="B83" s="2" t="s">
        <v>114</v>
      </c>
      <c r="C83" t="s">
        <v>16</v>
      </c>
      <c r="D83" t="s">
        <v>36</v>
      </c>
      <c r="E83">
        <v>14.37</v>
      </c>
      <c r="F83" t="s">
        <v>18</v>
      </c>
      <c r="G83">
        <v>14.37</v>
      </c>
      <c r="H83">
        <v>2025</v>
      </c>
      <c r="I83">
        <v>11</v>
      </c>
      <c r="J83" t="s">
        <v>68</v>
      </c>
      <c r="K83" s="1">
        <v>45985</v>
      </c>
      <c r="L83" t="s">
        <v>38</v>
      </c>
      <c r="M83" t="s">
        <v>39</v>
      </c>
      <c r="N83" t="b">
        <v>1</v>
      </c>
      <c r="O83">
        <v>84</v>
      </c>
    </row>
    <row r="84" spans="1:15" x14ac:dyDescent="0.35">
      <c r="A84" s="1">
        <v>45981</v>
      </c>
      <c r="B84" s="2" t="s">
        <v>115</v>
      </c>
      <c r="C84" t="s">
        <v>16</v>
      </c>
      <c r="D84" t="s">
        <v>36</v>
      </c>
      <c r="E84">
        <v>14.99</v>
      </c>
      <c r="F84" t="s">
        <v>18</v>
      </c>
      <c r="G84">
        <v>14.99</v>
      </c>
      <c r="H84">
        <v>2025</v>
      </c>
      <c r="I84">
        <v>11</v>
      </c>
      <c r="J84" t="s">
        <v>68</v>
      </c>
      <c r="K84" s="1">
        <v>45981</v>
      </c>
      <c r="L84" t="s">
        <v>23</v>
      </c>
      <c r="M84" t="s">
        <v>39</v>
      </c>
      <c r="N84" t="b">
        <v>1</v>
      </c>
      <c r="O84">
        <v>85</v>
      </c>
    </row>
    <row r="85" spans="1:15" x14ac:dyDescent="0.35">
      <c r="A85" s="1">
        <v>45954</v>
      </c>
      <c r="B85" s="2" t="s">
        <v>116</v>
      </c>
      <c r="C85" t="s">
        <v>16</v>
      </c>
      <c r="D85" t="s">
        <v>36</v>
      </c>
      <c r="E85">
        <v>29.28</v>
      </c>
      <c r="F85" t="s">
        <v>18</v>
      </c>
      <c r="G85">
        <v>29.28</v>
      </c>
      <c r="H85">
        <v>2025</v>
      </c>
      <c r="I85">
        <v>10</v>
      </c>
      <c r="J85" t="s">
        <v>57</v>
      </c>
      <c r="K85" s="1">
        <v>45954</v>
      </c>
      <c r="L85" t="s">
        <v>31</v>
      </c>
      <c r="M85" t="s">
        <v>39</v>
      </c>
      <c r="N85" t="b">
        <v>1</v>
      </c>
      <c r="O85">
        <v>93</v>
      </c>
    </row>
    <row r="86" spans="1:15" x14ac:dyDescent="0.35">
      <c r="A86" s="1">
        <v>45953</v>
      </c>
      <c r="B86" s="2" t="s">
        <v>117</v>
      </c>
      <c r="C86" t="s">
        <v>16</v>
      </c>
      <c r="D86" t="s">
        <v>36</v>
      </c>
      <c r="E86">
        <v>43.29</v>
      </c>
      <c r="F86" t="s">
        <v>18</v>
      </c>
      <c r="G86">
        <v>43.29</v>
      </c>
      <c r="H86">
        <v>2025</v>
      </c>
      <c r="I86">
        <v>10</v>
      </c>
      <c r="J86" t="s">
        <v>57</v>
      </c>
      <c r="K86" s="1">
        <v>45953</v>
      </c>
      <c r="L86" t="s">
        <v>23</v>
      </c>
      <c r="M86" t="s">
        <v>39</v>
      </c>
      <c r="N86" t="b">
        <v>1</v>
      </c>
      <c r="O86">
        <v>94</v>
      </c>
    </row>
    <row r="87" spans="1:15" x14ac:dyDescent="0.35">
      <c r="A87" s="1">
        <v>45953</v>
      </c>
      <c r="B87" s="2" t="s">
        <v>118</v>
      </c>
      <c r="C87" t="s">
        <v>16</v>
      </c>
      <c r="D87" t="s">
        <v>36</v>
      </c>
      <c r="E87">
        <v>41.2</v>
      </c>
      <c r="F87" t="s">
        <v>18</v>
      </c>
      <c r="G87">
        <v>41.2</v>
      </c>
      <c r="H87">
        <v>2025</v>
      </c>
      <c r="I87">
        <v>10</v>
      </c>
      <c r="J87" t="s">
        <v>57</v>
      </c>
      <c r="K87" s="1">
        <v>45953</v>
      </c>
      <c r="L87" t="s">
        <v>23</v>
      </c>
      <c r="M87" t="s">
        <v>39</v>
      </c>
      <c r="N87" t="b">
        <v>1</v>
      </c>
      <c r="O87">
        <v>95</v>
      </c>
    </row>
    <row r="88" spans="1:15" x14ac:dyDescent="0.35">
      <c r="A88" s="1">
        <v>45952</v>
      </c>
      <c r="B88" s="2" t="s">
        <v>119</v>
      </c>
      <c r="C88" t="s">
        <v>16</v>
      </c>
      <c r="D88" t="s">
        <v>36</v>
      </c>
      <c r="E88">
        <v>152.04</v>
      </c>
      <c r="F88" t="s">
        <v>18</v>
      </c>
      <c r="G88">
        <v>152.04</v>
      </c>
      <c r="H88">
        <v>2025</v>
      </c>
      <c r="I88">
        <v>10</v>
      </c>
      <c r="J88" t="s">
        <v>57</v>
      </c>
      <c r="K88" s="1">
        <v>45952</v>
      </c>
      <c r="L88" t="s">
        <v>58</v>
      </c>
      <c r="M88" t="s">
        <v>39</v>
      </c>
      <c r="N88" t="b">
        <v>1</v>
      </c>
      <c r="O88">
        <v>96</v>
      </c>
    </row>
    <row r="89" spans="1:15" x14ac:dyDescent="0.35">
      <c r="A89" s="1">
        <v>45952</v>
      </c>
      <c r="B89" s="2" t="s">
        <v>120</v>
      </c>
      <c r="C89" t="s">
        <v>16</v>
      </c>
      <c r="D89" t="s">
        <v>36</v>
      </c>
      <c r="E89">
        <v>56.4</v>
      </c>
      <c r="F89" t="s">
        <v>18</v>
      </c>
      <c r="G89">
        <v>56.4</v>
      </c>
      <c r="H89">
        <v>2025</v>
      </c>
      <c r="I89">
        <v>10</v>
      </c>
      <c r="J89" t="s">
        <v>57</v>
      </c>
      <c r="K89" s="1">
        <v>45952</v>
      </c>
      <c r="L89" t="s">
        <v>58</v>
      </c>
      <c r="M89" t="s">
        <v>39</v>
      </c>
      <c r="N89" t="b">
        <v>1</v>
      </c>
      <c r="O89">
        <v>97</v>
      </c>
    </row>
    <row r="90" spans="1:15" x14ac:dyDescent="0.35">
      <c r="A90" s="1">
        <v>45920</v>
      </c>
      <c r="B90" t="s">
        <v>121</v>
      </c>
      <c r="C90" t="s">
        <v>16</v>
      </c>
      <c r="D90" t="s">
        <v>36</v>
      </c>
      <c r="E90">
        <v>14.99</v>
      </c>
      <c r="F90" t="s">
        <v>18</v>
      </c>
      <c r="G90">
        <v>14.99</v>
      </c>
      <c r="H90">
        <v>2025</v>
      </c>
      <c r="I90">
        <v>9</v>
      </c>
      <c r="J90" t="s">
        <v>30</v>
      </c>
      <c r="K90" s="1">
        <v>45920</v>
      </c>
      <c r="L90" t="s">
        <v>20</v>
      </c>
      <c r="M90" t="s">
        <v>39</v>
      </c>
      <c r="N90" t="b">
        <v>1</v>
      </c>
      <c r="O90">
        <v>98</v>
      </c>
    </row>
    <row r="91" spans="1:15" x14ac:dyDescent="0.35">
      <c r="A91" s="1">
        <v>45916</v>
      </c>
      <c r="B91" t="s">
        <v>122</v>
      </c>
      <c r="C91" t="s">
        <v>123</v>
      </c>
      <c r="D91" t="s">
        <v>36</v>
      </c>
      <c r="E91">
        <v>289.60000000000002</v>
      </c>
      <c r="F91" t="s">
        <v>124</v>
      </c>
      <c r="G91">
        <v>289.60000000000002</v>
      </c>
      <c r="H91">
        <v>2025</v>
      </c>
      <c r="I91">
        <v>9</v>
      </c>
      <c r="J91" t="s">
        <v>30</v>
      </c>
      <c r="K91" s="1">
        <v>45916</v>
      </c>
      <c r="L91" t="s">
        <v>50</v>
      </c>
      <c r="M91" t="s">
        <v>39</v>
      </c>
      <c r="N91" t="b">
        <v>0</v>
      </c>
      <c r="O91">
        <v>330</v>
      </c>
    </row>
    <row r="92" spans="1:15" x14ac:dyDescent="0.35">
      <c r="A92" s="1">
        <v>45916</v>
      </c>
      <c r="B92" t="s">
        <v>122</v>
      </c>
      <c r="C92" t="s">
        <v>123</v>
      </c>
      <c r="D92" t="s">
        <v>36</v>
      </c>
      <c r="E92">
        <v>362</v>
      </c>
      <c r="F92" t="s">
        <v>124</v>
      </c>
      <c r="G92">
        <v>362</v>
      </c>
      <c r="H92">
        <v>2025</v>
      </c>
      <c r="I92">
        <v>9</v>
      </c>
      <c r="J92" t="s">
        <v>30</v>
      </c>
      <c r="K92" s="1">
        <v>45916</v>
      </c>
      <c r="L92" t="s">
        <v>50</v>
      </c>
      <c r="M92" t="s">
        <v>39</v>
      </c>
      <c r="N92" t="b">
        <v>0</v>
      </c>
      <c r="O92">
        <v>331</v>
      </c>
    </row>
    <row r="93" spans="1:15" x14ac:dyDescent="0.35">
      <c r="A93" s="1">
        <v>45915</v>
      </c>
      <c r="B93" t="s">
        <v>125</v>
      </c>
      <c r="C93" t="s">
        <v>16</v>
      </c>
      <c r="D93" t="s">
        <v>36</v>
      </c>
      <c r="E93">
        <v>21.69</v>
      </c>
      <c r="F93" t="s">
        <v>18</v>
      </c>
      <c r="G93">
        <v>21.69</v>
      </c>
      <c r="H93">
        <v>2025</v>
      </c>
      <c r="I93">
        <v>9</v>
      </c>
      <c r="J93" t="s">
        <v>30</v>
      </c>
      <c r="K93" s="1">
        <v>45915</v>
      </c>
      <c r="L93" t="s">
        <v>38</v>
      </c>
      <c r="M93" t="s">
        <v>39</v>
      </c>
      <c r="N93" t="b">
        <v>1</v>
      </c>
      <c r="O93">
        <v>99</v>
      </c>
    </row>
    <row r="94" spans="1:15" x14ac:dyDescent="0.35">
      <c r="A94" s="1">
        <v>45914</v>
      </c>
      <c r="B94" t="s">
        <v>126</v>
      </c>
      <c r="C94" t="s">
        <v>16</v>
      </c>
      <c r="D94" t="s">
        <v>36</v>
      </c>
      <c r="E94">
        <v>7.69</v>
      </c>
      <c r="F94" t="s">
        <v>18</v>
      </c>
      <c r="G94">
        <v>7.69</v>
      </c>
      <c r="H94">
        <v>2025</v>
      </c>
      <c r="I94">
        <v>9</v>
      </c>
      <c r="J94" t="s">
        <v>30</v>
      </c>
      <c r="K94" s="1">
        <v>45914</v>
      </c>
      <c r="L94" t="s">
        <v>41</v>
      </c>
      <c r="M94" t="s">
        <v>39</v>
      </c>
      <c r="N94" t="b">
        <v>1</v>
      </c>
      <c r="O94">
        <v>100</v>
      </c>
    </row>
    <row r="95" spans="1:15" x14ac:dyDescent="0.35">
      <c r="A95" s="1">
        <v>45906</v>
      </c>
      <c r="B95" t="s">
        <v>127</v>
      </c>
      <c r="C95" t="s">
        <v>16</v>
      </c>
      <c r="D95" t="s">
        <v>36</v>
      </c>
      <c r="E95">
        <v>19.52</v>
      </c>
      <c r="F95" t="s">
        <v>18</v>
      </c>
      <c r="G95">
        <v>19.52</v>
      </c>
      <c r="H95">
        <v>2025</v>
      </c>
      <c r="I95">
        <v>9</v>
      </c>
      <c r="J95" t="s">
        <v>30</v>
      </c>
      <c r="K95" s="1">
        <v>45906</v>
      </c>
      <c r="L95" t="s">
        <v>20</v>
      </c>
      <c r="M95" t="s">
        <v>39</v>
      </c>
      <c r="N95" t="b">
        <v>1</v>
      </c>
      <c r="O95">
        <v>101</v>
      </c>
    </row>
    <row r="96" spans="1:15" x14ac:dyDescent="0.35">
      <c r="A96" s="1">
        <v>45903</v>
      </c>
      <c r="B96" s="2" t="s">
        <v>128</v>
      </c>
      <c r="C96" t="s">
        <v>16</v>
      </c>
      <c r="D96" t="s">
        <v>36</v>
      </c>
      <c r="E96">
        <v>37.96</v>
      </c>
      <c r="F96" t="s">
        <v>18</v>
      </c>
      <c r="G96">
        <v>37.96</v>
      </c>
      <c r="H96">
        <v>2025</v>
      </c>
      <c r="I96">
        <v>9</v>
      </c>
      <c r="J96" t="s">
        <v>30</v>
      </c>
      <c r="K96" s="1">
        <v>45903</v>
      </c>
      <c r="L96" t="s">
        <v>58</v>
      </c>
      <c r="M96" t="s">
        <v>39</v>
      </c>
      <c r="N96" t="b">
        <v>1</v>
      </c>
      <c r="O96">
        <v>104</v>
      </c>
    </row>
    <row r="97" spans="1:15" x14ac:dyDescent="0.35">
      <c r="A97" s="1">
        <v>45889</v>
      </c>
      <c r="B97" s="2" t="s">
        <v>129</v>
      </c>
      <c r="C97" t="s">
        <v>16</v>
      </c>
      <c r="D97" t="s">
        <v>36</v>
      </c>
      <c r="E97">
        <v>14.99</v>
      </c>
      <c r="F97" t="s">
        <v>18</v>
      </c>
      <c r="G97">
        <v>14.99</v>
      </c>
      <c r="H97">
        <v>2025</v>
      </c>
      <c r="I97">
        <v>8</v>
      </c>
      <c r="J97" t="s">
        <v>71</v>
      </c>
      <c r="K97" s="1">
        <v>45889</v>
      </c>
      <c r="L97" t="s">
        <v>58</v>
      </c>
      <c r="M97" t="s">
        <v>39</v>
      </c>
      <c r="N97" t="b">
        <v>1</v>
      </c>
      <c r="O97">
        <v>105</v>
      </c>
    </row>
    <row r="98" spans="1:15" x14ac:dyDescent="0.35">
      <c r="A98" s="1">
        <v>45889</v>
      </c>
      <c r="B98" t="s">
        <v>130</v>
      </c>
      <c r="C98" t="s">
        <v>16</v>
      </c>
      <c r="D98" t="s">
        <v>36</v>
      </c>
      <c r="E98">
        <v>11.88</v>
      </c>
      <c r="F98" t="s">
        <v>18</v>
      </c>
      <c r="G98">
        <v>11.88</v>
      </c>
      <c r="H98">
        <v>2025</v>
      </c>
      <c r="I98">
        <v>8</v>
      </c>
      <c r="J98" t="s">
        <v>71</v>
      </c>
      <c r="K98" s="1">
        <v>45889</v>
      </c>
      <c r="L98" t="s">
        <v>58</v>
      </c>
      <c r="M98" t="s">
        <v>39</v>
      </c>
      <c r="N98" t="b">
        <v>1</v>
      </c>
      <c r="O98">
        <v>106</v>
      </c>
    </row>
    <row r="99" spans="1:15" x14ac:dyDescent="0.35">
      <c r="A99" s="1">
        <v>45887</v>
      </c>
      <c r="B99" s="2" t="s">
        <v>131</v>
      </c>
      <c r="C99" t="s">
        <v>16</v>
      </c>
      <c r="D99" t="s">
        <v>36</v>
      </c>
      <c r="E99">
        <v>35.369999999999997</v>
      </c>
      <c r="F99" t="s">
        <v>18</v>
      </c>
      <c r="G99">
        <v>35.369999999999997</v>
      </c>
      <c r="H99">
        <v>2025</v>
      </c>
      <c r="I99">
        <v>8</v>
      </c>
      <c r="J99" t="s">
        <v>71</v>
      </c>
      <c r="K99" s="1">
        <v>45887</v>
      </c>
      <c r="L99" t="s">
        <v>38</v>
      </c>
      <c r="M99" t="s">
        <v>39</v>
      </c>
      <c r="N99" t="b">
        <v>1</v>
      </c>
      <c r="O99">
        <v>107</v>
      </c>
    </row>
    <row r="100" spans="1:15" x14ac:dyDescent="0.35">
      <c r="A100" s="1">
        <v>45877</v>
      </c>
      <c r="B100" s="2" t="s">
        <v>132</v>
      </c>
      <c r="C100" t="s">
        <v>16</v>
      </c>
      <c r="D100" t="s">
        <v>36</v>
      </c>
      <c r="E100">
        <v>31.43</v>
      </c>
      <c r="F100" t="s">
        <v>18</v>
      </c>
      <c r="G100">
        <v>31.43</v>
      </c>
      <c r="H100">
        <v>2025</v>
      </c>
      <c r="I100">
        <v>8</v>
      </c>
      <c r="J100" t="s">
        <v>71</v>
      </c>
      <c r="K100" s="1">
        <v>45877</v>
      </c>
      <c r="L100" t="s">
        <v>31</v>
      </c>
      <c r="M100" t="s">
        <v>39</v>
      </c>
      <c r="N100" t="b">
        <v>1</v>
      </c>
      <c r="O100">
        <v>108</v>
      </c>
    </row>
    <row r="101" spans="1:15" x14ac:dyDescent="0.35">
      <c r="A101" s="1">
        <v>45875</v>
      </c>
      <c r="B101" s="2" t="s">
        <v>133</v>
      </c>
      <c r="C101" t="s">
        <v>16</v>
      </c>
      <c r="D101" t="s">
        <v>36</v>
      </c>
      <c r="E101">
        <v>5.41</v>
      </c>
      <c r="F101" t="s">
        <v>18</v>
      </c>
      <c r="G101">
        <v>5.41</v>
      </c>
      <c r="H101">
        <v>2025</v>
      </c>
      <c r="I101">
        <v>8</v>
      </c>
      <c r="J101" t="s">
        <v>71</v>
      </c>
      <c r="K101" s="1">
        <v>45875</v>
      </c>
      <c r="L101" t="s">
        <v>58</v>
      </c>
      <c r="M101" t="s">
        <v>39</v>
      </c>
      <c r="N101" t="b">
        <v>1</v>
      </c>
      <c r="O101">
        <v>109</v>
      </c>
    </row>
    <row r="102" spans="1:15" x14ac:dyDescent="0.35">
      <c r="A102" s="1">
        <v>45858</v>
      </c>
      <c r="B102" s="2" t="s">
        <v>134</v>
      </c>
      <c r="C102" t="s">
        <v>16</v>
      </c>
      <c r="D102" t="s">
        <v>36</v>
      </c>
      <c r="E102">
        <v>14.99</v>
      </c>
      <c r="F102" t="s">
        <v>18</v>
      </c>
      <c r="G102">
        <v>14.99</v>
      </c>
      <c r="H102">
        <v>2025</v>
      </c>
      <c r="I102">
        <v>7</v>
      </c>
      <c r="J102" t="s">
        <v>73</v>
      </c>
      <c r="K102" s="1">
        <v>45858</v>
      </c>
      <c r="L102" t="s">
        <v>41</v>
      </c>
      <c r="M102" t="s">
        <v>39</v>
      </c>
      <c r="N102" t="b">
        <v>1</v>
      </c>
      <c r="O102">
        <v>110</v>
      </c>
    </row>
    <row r="103" spans="1:15" x14ac:dyDescent="0.35">
      <c r="A103" s="1">
        <v>45847</v>
      </c>
      <c r="B103" s="2" t="s">
        <v>135</v>
      </c>
      <c r="C103" t="s">
        <v>16</v>
      </c>
      <c r="D103" t="s">
        <v>36</v>
      </c>
      <c r="E103">
        <v>276.68</v>
      </c>
      <c r="F103" t="s">
        <v>18</v>
      </c>
      <c r="G103">
        <v>276.68</v>
      </c>
      <c r="H103">
        <v>2025</v>
      </c>
      <c r="I103">
        <v>7</v>
      </c>
      <c r="J103" t="s">
        <v>73</v>
      </c>
      <c r="K103" s="1">
        <v>45847</v>
      </c>
      <c r="L103" t="s">
        <v>58</v>
      </c>
      <c r="M103" t="s">
        <v>39</v>
      </c>
      <c r="N103" t="b">
        <v>1</v>
      </c>
      <c r="O103">
        <v>111</v>
      </c>
    </row>
    <row r="104" spans="1:15" x14ac:dyDescent="0.35">
      <c r="A104" s="1">
        <v>46023</v>
      </c>
      <c r="B104" t="s">
        <v>136</v>
      </c>
      <c r="C104" t="s">
        <v>137</v>
      </c>
      <c r="D104" t="s">
        <v>36</v>
      </c>
      <c r="E104">
        <v>8.08</v>
      </c>
      <c r="F104" t="s">
        <v>138</v>
      </c>
      <c r="G104">
        <v>8.08</v>
      </c>
      <c r="H104">
        <v>2026</v>
      </c>
      <c r="I104">
        <v>1</v>
      </c>
      <c r="J104" t="s">
        <v>24</v>
      </c>
      <c r="K104" s="1">
        <v>46023</v>
      </c>
      <c r="L104" t="s">
        <v>23</v>
      </c>
      <c r="M104" t="s">
        <v>39</v>
      </c>
      <c r="N104" t="b">
        <v>1</v>
      </c>
      <c r="O104">
        <v>1061</v>
      </c>
    </row>
    <row r="105" spans="1:15" x14ac:dyDescent="0.35">
      <c r="A105" s="1">
        <v>45935</v>
      </c>
      <c r="B105" t="s">
        <v>139</v>
      </c>
      <c r="C105" t="s">
        <v>35</v>
      </c>
      <c r="D105" t="s">
        <v>17</v>
      </c>
      <c r="E105">
        <v>-50</v>
      </c>
      <c r="F105" t="s">
        <v>140</v>
      </c>
      <c r="G105">
        <v>50</v>
      </c>
      <c r="H105">
        <v>2025</v>
      </c>
      <c r="I105">
        <v>10</v>
      </c>
      <c r="J105" t="s">
        <v>57</v>
      </c>
      <c r="K105" s="1">
        <v>45935</v>
      </c>
      <c r="L105" t="s">
        <v>41</v>
      </c>
      <c r="M105" t="s">
        <v>21</v>
      </c>
      <c r="N105" t="b">
        <v>1</v>
      </c>
      <c r="O105">
        <v>432</v>
      </c>
    </row>
    <row r="106" spans="1:15" x14ac:dyDescent="0.35">
      <c r="A106" s="1">
        <v>45812</v>
      </c>
      <c r="B106" s="2" t="s">
        <v>141</v>
      </c>
      <c r="C106" t="s">
        <v>16</v>
      </c>
      <c r="D106" t="s">
        <v>17</v>
      </c>
      <c r="E106">
        <v>-24.54</v>
      </c>
      <c r="F106" t="s">
        <v>18</v>
      </c>
      <c r="G106">
        <v>24.54</v>
      </c>
      <c r="H106">
        <v>2025</v>
      </c>
      <c r="I106">
        <v>6</v>
      </c>
      <c r="J106" t="s">
        <v>33</v>
      </c>
      <c r="K106" s="1">
        <v>45812</v>
      </c>
      <c r="L106" t="s">
        <v>58</v>
      </c>
      <c r="M106" t="s">
        <v>21</v>
      </c>
      <c r="N106" t="b">
        <v>1</v>
      </c>
      <c r="O106">
        <v>115</v>
      </c>
    </row>
    <row r="107" spans="1:15" x14ac:dyDescent="0.35">
      <c r="A107" s="1">
        <v>45811</v>
      </c>
      <c r="B107" s="2" t="s">
        <v>142</v>
      </c>
      <c r="C107" t="s">
        <v>16</v>
      </c>
      <c r="D107" t="s">
        <v>17</v>
      </c>
      <c r="E107">
        <v>-22.56</v>
      </c>
      <c r="F107" t="s">
        <v>18</v>
      </c>
      <c r="G107">
        <v>22.56</v>
      </c>
      <c r="H107">
        <v>2025</v>
      </c>
      <c r="I107">
        <v>6</v>
      </c>
      <c r="J107" t="s">
        <v>33</v>
      </c>
      <c r="K107" s="1">
        <v>45811</v>
      </c>
      <c r="L107" t="s">
        <v>50</v>
      </c>
      <c r="M107" t="s">
        <v>21</v>
      </c>
      <c r="N107" t="b">
        <v>1</v>
      </c>
      <c r="O107">
        <v>117</v>
      </c>
    </row>
    <row r="108" spans="1:15" x14ac:dyDescent="0.35">
      <c r="A108" s="1">
        <v>45811</v>
      </c>
      <c r="B108" s="2" t="s">
        <v>143</v>
      </c>
      <c r="C108" t="s">
        <v>16</v>
      </c>
      <c r="D108" t="s">
        <v>36</v>
      </c>
      <c r="E108">
        <v>17.28</v>
      </c>
      <c r="F108" t="s">
        <v>18</v>
      </c>
      <c r="G108">
        <v>17.28</v>
      </c>
      <c r="H108">
        <v>2025</v>
      </c>
      <c r="I108">
        <v>6</v>
      </c>
      <c r="J108" t="s">
        <v>33</v>
      </c>
      <c r="K108" s="1">
        <v>45811</v>
      </c>
      <c r="L108" t="s">
        <v>50</v>
      </c>
      <c r="M108" t="s">
        <v>39</v>
      </c>
      <c r="N108" t="b">
        <v>1</v>
      </c>
      <c r="O108">
        <v>116</v>
      </c>
    </row>
    <row r="109" spans="1:15" x14ac:dyDescent="0.35">
      <c r="A109" s="1">
        <v>45799</v>
      </c>
      <c r="B109" s="2" t="s">
        <v>144</v>
      </c>
      <c r="C109" t="s">
        <v>16</v>
      </c>
      <c r="D109" t="s">
        <v>36</v>
      </c>
      <c r="E109">
        <v>39.049999999999997</v>
      </c>
      <c r="F109" t="s">
        <v>18</v>
      </c>
      <c r="G109">
        <v>39.049999999999997</v>
      </c>
      <c r="H109">
        <v>2025</v>
      </c>
      <c r="I109">
        <v>5</v>
      </c>
      <c r="J109" t="s">
        <v>75</v>
      </c>
      <c r="K109" s="1">
        <v>45799</v>
      </c>
      <c r="L109" t="s">
        <v>23</v>
      </c>
      <c r="M109" t="s">
        <v>39</v>
      </c>
      <c r="N109" t="b">
        <v>1</v>
      </c>
      <c r="O109">
        <v>120</v>
      </c>
    </row>
    <row r="110" spans="1:15" x14ac:dyDescent="0.35">
      <c r="A110" s="1">
        <v>45799</v>
      </c>
      <c r="B110" s="2" t="s">
        <v>145</v>
      </c>
      <c r="C110" t="s">
        <v>16</v>
      </c>
      <c r="D110" t="s">
        <v>36</v>
      </c>
      <c r="E110">
        <v>10.84</v>
      </c>
      <c r="F110" t="s">
        <v>18</v>
      </c>
      <c r="G110">
        <v>10.84</v>
      </c>
      <c r="H110">
        <v>2025</v>
      </c>
      <c r="I110">
        <v>5</v>
      </c>
      <c r="J110" t="s">
        <v>75</v>
      </c>
      <c r="K110" s="1">
        <v>45799</v>
      </c>
      <c r="L110" t="s">
        <v>23</v>
      </c>
      <c r="M110" t="s">
        <v>39</v>
      </c>
      <c r="N110" t="b">
        <v>1</v>
      </c>
      <c r="O110">
        <v>121</v>
      </c>
    </row>
    <row r="111" spans="1:15" x14ac:dyDescent="0.35">
      <c r="A111" s="1">
        <v>45798</v>
      </c>
      <c r="B111" s="2" t="s">
        <v>146</v>
      </c>
      <c r="C111" t="s">
        <v>16</v>
      </c>
      <c r="D111" t="s">
        <v>36</v>
      </c>
      <c r="E111">
        <v>94.68</v>
      </c>
      <c r="F111" t="s">
        <v>18</v>
      </c>
      <c r="G111">
        <v>94.68</v>
      </c>
      <c r="H111">
        <v>2025</v>
      </c>
      <c r="I111">
        <v>5</v>
      </c>
      <c r="J111" t="s">
        <v>75</v>
      </c>
      <c r="K111" s="1">
        <v>45798</v>
      </c>
      <c r="L111" t="s">
        <v>58</v>
      </c>
      <c r="M111" t="s">
        <v>39</v>
      </c>
      <c r="N111" t="b">
        <v>1</v>
      </c>
      <c r="O111">
        <v>122</v>
      </c>
    </row>
    <row r="112" spans="1:15" x14ac:dyDescent="0.35">
      <c r="A112" s="1">
        <v>45798</v>
      </c>
      <c r="B112" s="2" t="s">
        <v>147</v>
      </c>
      <c r="C112" t="s">
        <v>16</v>
      </c>
      <c r="D112" t="s">
        <v>36</v>
      </c>
      <c r="E112">
        <v>94.61</v>
      </c>
      <c r="F112" t="s">
        <v>18</v>
      </c>
      <c r="G112">
        <v>94.61</v>
      </c>
      <c r="H112">
        <v>2025</v>
      </c>
      <c r="I112">
        <v>5</v>
      </c>
      <c r="J112" t="s">
        <v>75</v>
      </c>
      <c r="K112" s="1">
        <v>45798</v>
      </c>
      <c r="L112" t="s">
        <v>58</v>
      </c>
      <c r="M112" t="s">
        <v>39</v>
      </c>
      <c r="N112" t="b">
        <v>1</v>
      </c>
      <c r="O112">
        <v>123</v>
      </c>
    </row>
    <row r="113" spans="1:15" x14ac:dyDescent="0.35">
      <c r="A113" s="1">
        <v>45797</v>
      </c>
      <c r="B113" s="2" t="s">
        <v>148</v>
      </c>
      <c r="C113" t="s">
        <v>16</v>
      </c>
      <c r="D113" t="s">
        <v>36</v>
      </c>
      <c r="E113">
        <v>14.99</v>
      </c>
      <c r="F113" t="s">
        <v>18</v>
      </c>
      <c r="G113">
        <v>14.99</v>
      </c>
      <c r="H113">
        <v>2025</v>
      </c>
      <c r="I113">
        <v>5</v>
      </c>
      <c r="J113" t="s">
        <v>75</v>
      </c>
      <c r="K113" s="1">
        <v>45797</v>
      </c>
      <c r="L113" t="s">
        <v>50</v>
      </c>
      <c r="M113" t="s">
        <v>39</v>
      </c>
      <c r="N113" t="b">
        <v>1</v>
      </c>
      <c r="O113">
        <v>124</v>
      </c>
    </row>
    <row r="114" spans="1:15" x14ac:dyDescent="0.35">
      <c r="A114" s="1">
        <v>45811</v>
      </c>
      <c r="B114" s="2" t="s">
        <v>149</v>
      </c>
      <c r="C114" t="s">
        <v>16</v>
      </c>
      <c r="D114" t="s">
        <v>17</v>
      </c>
      <c r="E114">
        <v>-32.97</v>
      </c>
      <c r="F114" t="s">
        <v>18</v>
      </c>
      <c r="G114">
        <v>32.97</v>
      </c>
      <c r="H114">
        <v>2025</v>
      </c>
      <c r="I114">
        <v>6</v>
      </c>
      <c r="J114" t="s">
        <v>33</v>
      </c>
      <c r="K114" s="1">
        <v>45811</v>
      </c>
      <c r="L114" t="s">
        <v>50</v>
      </c>
      <c r="M114" t="s">
        <v>21</v>
      </c>
      <c r="N114" t="b">
        <v>1</v>
      </c>
      <c r="O114">
        <v>118</v>
      </c>
    </row>
    <row r="115" spans="1:15" x14ac:dyDescent="0.35">
      <c r="A115" s="1">
        <v>45811</v>
      </c>
      <c r="B115" s="2" t="s">
        <v>150</v>
      </c>
      <c r="C115" t="s">
        <v>16</v>
      </c>
      <c r="D115" t="s">
        <v>17</v>
      </c>
      <c r="E115">
        <v>-39.049999999999997</v>
      </c>
      <c r="F115" t="s">
        <v>18</v>
      </c>
      <c r="G115">
        <v>39.049999999999997</v>
      </c>
      <c r="H115">
        <v>2025</v>
      </c>
      <c r="I115">
        <v>6</v>
      </c>
      <c r="J115" t="s">
        <v>33</v>
      </c>
      <c r="K115" s="1">
        <v>45811</v>
      </c>
      <c r="L115" t="s">
        <v>50</v>
      </c>
      <c r="M115" t="s">
        <v>21</v>
      </c>
      <c r="N115" t="b">
        <v>1</v>
      </c>
      <c r="O115">
        <v>119</v>
      </c>
    </row>
    <row r="116" spans="1:15" x14ac:dyDescent="0.35">
      <c r="A116" s="1">
        <v>46057</v>
      </c>
      <c r="B116" t="s">
        <v>151</v>
      </c>
      <c r="C116" t="s">
        <v>16</v>
      </c>
      <c r="D116" t="s">
        <v>36</v>
      </c>
      <c r="E116">
        <v>24</v>
      </c>
      <c r="F116" t="s">
        <v>152</v>
      </c>
      <c r="G116">
        <v>24</v>
      </c>
      <c r="H116">
        <v>2026</v>
      </c>
      <c r="I116">
        <v>2</v>
      </c>
      <c r="J116" t="s">
        <v>19</v>
      </c>
      <c r="K116" s="1">
        <v>46057</v>
      </c>
      <c r="L116" t="s">
        <v>58</v>
      </c>
      <c r="M116" t="s">
        <v>39</v>
      </c>
      <c r="N116" t="b">
        <v>1</v>
      </c>
      <c r="O116">
        <v>134</v>
      </c>
    </row>
    <row r="117" spans="1:15" x14ac:dyDescent="0.35">
      <c r="A117" s="1">
        <v>46057</v>
      </c>
      <c r="B117" t="s">
        <v>153</v>
      </c>
      <c r="C117" t="s">
        <v>16</v>
      </c>
      <c r="D117" t="s">
        <v>36</v>
      </c>
      <c r="E117">
        <v>19</v>
      </c>
      <c r="F117" t="s">
        <v>154</v>
      </c>
      <c r="G117">
        <v>19</v>
      </c>
      <c r="H117">
        <v>2026</v>
      </c>
      <c r="I117">
        <v>2</v>
      </c>
      <c r="J117" t="s">
        <v>19</v>
      </c>
      <c r="K117" s="1">
        <v>46057</v>
      </c>
      <c r="L117" t="s">
        <v>58</v>
      </c>
      <c r="M117" t="s">
        <v>39</v>
      </c>
      <c r="N117" t="b">
        <v>1</v>
      </c>
      <c r="O117">
        <v>135</v>
      </c>
    </row>
    <row r="118" spans="1:15" x14ac:dyDescent="0.35">
      <c r="A118" s="1">
        <v>46023</v>
      </c>
      <c r="B118" t="s">
        <v>155</v>
      </c>
      <c r="C118" t="s">
        <v>16</v>
      </c>
      <c r="D118" t="s">
        <v>36</v>
      </c>
      <c r="E118">
        <v>68.069999999999993</v>
      </c>
      <c r="F118" t="s">
        <v>156</v>
      </c>
      <c r="G118">
        <v>68.069999999999993</v>
      </c>
      <c r="H118">
        <v>2026</v>
      </c>
      <c r="I118">
        <v>1</v>
      </c>
      <c r="J118" t="s">
        <v>24</v>
      </c>
      <c r="K118" s="1">
        <v>46023</v>
      </c>
      <c r="L118" t="s">
        <v>23</v>
      </c>
      <c r="M118" t="s">
        <v>39</v>
      </c>
      <c r="N118" t="b">
        <v>1</v>
      </c>
      <c r="O118">
        <v>546</v>
      </c>
    </row>
    <row r="119" spans="1:15" x14ac:dyDescent="0.35">
      <c r="A119" s="1">
        <v>45915</v>
      </c>
      <c r="B119" t="s">
        <v>157</v>
      </c>
      <c r="C119" t="s">
        <v>158</v>
      </c>
      <c r="D119" t="s">
        <v>36</v>
      </c>
      <c r="E119">
        <v>29</v>
      </c>
      <c r="F119" t="s">
        <v>159</v>
      </c>
      <c r="G119">
        <v>29</v>
      </c>
      <c r="H119">
        <v>2025</v>
      </c>
      <c r="I119">
        <v>9</v>
      </c>
      <c r="J119" t="s">
        <v>30</v>
      </c>
      <c r="K119" s="1">
        <v>45915</v>
      </c>
      <c r="L119" t="s">
        <v>38</v>
      </c>
      <c r="M119" t="s">
        <v>39</v>
      </c>
      <c r="N119" t="b">
        <v>0</v>
      </c>
      <c r="O119">
        <v>1244</v>
      </c>
    </row>
    <row r="120" spans="1:15" x14ac:dyDescent="0.35">
      <c r="A120" s="1">
        <v>45810</v>
      </c>
      <c r="B120" t="s">
        <v>157</v>
      </c>
      <c r="C120" t="s">
        <v>158</v>
      </c>
      <c r="D120" t="s">
        <v>36</v>
      </c>
      <c r="E120">
        <v>27</v>
      </c>
      <c r="F120" t="s">
        <v>159</v>
      </c>
      <c r="G120">
        <v>27</v>
      </c>
      <c r="H120">
        <v>2025</v>
      </c>
      <c r="I120">
        <v>6</v>
      </c>
      <c r="J120" t="s">
        <v>33</v>
      </c>
      <c r="K120" s="1">
        <v>45810</v>
      </c>
      <c r="L120" t="s">
        <v>38</v>
      </c>
      <c r="M120" t="s">
        <v>39</v>
      </c>
      <c r="N120" t="b">
        <v>0</v>
      </c>
      <c r="O120">
        <v>1341</v>
      </c>
    </row>
    <row r="121" spans="1:15" x14ac:dyDescent="0.35">
      <c r="A121" s="1">
        <v>45978</v>
      </c>
      <c r="B121" t="s">
        <v>122</v>
      </c>
      <c r="C121" t="s">
        <v>123</v>
      </c>
      <c r="D121" t="s">
        <v>36</v>
      </c>
      <c r="E121">
        <v>289.60000000000002</v>
      </c>
      <c r="F121" t="s">
        <v>124</v>
      </c>
      <c r="G121">
        <v>289.60000000000002</v>
      </c>
      <c r="H121">
        <v>2025</v>
      </c>
      <c r="I121">
        <v>11</v>
      </c>
      <c r="J121" t="s">
        <v>68</v>
      </c>
      <c r="K121" s="1">
        <v>45978</v>
      </c>
      <c r="L121" t="s">
        <v>38</v>
      </c>
      <c r="M121" t="s">
        <v>39</v>
      </c>
      <c r="N121" t="b">
        <v>0</v>
      </c>
      <c r="O121">
        <v>423</v>
      </c>
    </row>
    <row r="122" spans="1:15" x14ac:dyDescent="0.35">
      <c r="A122" s="1">
        <v>45978</v>
      </c>
      <c r="B122" t="s">
        <v>122</v>
      </c>
      <c r="C122" t="s">
        <v>123</v>
      </c>
      <c r="D122" t="s">
        <v>36</v>
      </c>
      <c r="E122">
        <v>362</v>
      </c>
      <c r="F122" t="s">
        <v>124</v>
      </c>
      <c r="G122">
        <v>362</v>
      </c>
      <c r="H122">
        <v>2025</v>
      </c>
      <c r="I122">
        <v>11</v>
      </c>
      <c r="J122" t="s">
        <v>68</v>
      </c>
      <c r="K122" s="1">
        <v>45978</v>
      </c>
      <c r="L122" t="s">
        <v>38</v>
      </c>
      <c r="M122" t="s">
        <v>39</v>
      </c>
      <c r="N122" t="b">
        <v>0</v>
      </c>
      <c r="O122">
        <v>424</v>
      </c>
    </row>
    <row r="123" spans="1:15" x14ac:dyDescent="0.35">
      <c r="A123" s="1">
        <v>45981</v>
      </c>
      <c r="B123" t="s">
        <v>160</v>
      </c>
      <c r="C123" t="s">
        <v>123</v>
      </c>
      <c r="D123" t="s">
        <v>36</v>
      </c>
      <c r="E123">
        <v>40</v>
      </c>
      <c r="F123" t="s">
        <v>160</v>
      </c>
      <c r="G123">
        <v>40</v>
      </c>
      <c r="H123">
        <v>2025</v>
      </c>
      <c r="I123">
        <v>11</v>
      </c>
      <c r="J123" t="s">
        <v>68</v>
      </c>
      <c r="K123" s="1">
        <v>45981</v>
      </c>
      <c r="L123" t="s">
        <v>23</v>
      </c>
      <c r="M123" t="s">
        <v>39</v>
      </c>
      <c r="N123" t="b">
        <v>0</v>
      </c>
      <c r="O123">
        <v>416</v>
      </c>
    </row>
    <row r="124" spans="1:15" x14ac:dyDescent="0.35">
      <c r="A124" s="1">
        <v>45909</v>
      </c>
      <c r="B124" t="s">
        <v>161</v>
      </c>
      <c r="C124" t="s">
        <v>123</v>
      </c>
      <c r="D124" t="s">
        <v>36</v>
      </c>
      <c r="E124">
        <v>33.6</v>
      </c>
      <c r="F124" t="s">
        <v>162</v>
      </c>
      <c r="G124">
        <v>33.6</v>
      </c>
      <c r="H124">
        <v>2025</v>
      </c>
      <c r="I124">
        <v>9</v>
      </c>
      <c r="J124" t="s">
        <v>30</v>
      </c>
      <c r="K124" s="1">
        <v>45909</v>
      </c>
      <c r="L124" t="s">
        <v>50</v>
      </c>
      <c r="M124" t="s">
        <v>39</v>
      </c>
      <c r="N124" t="b">
        <v>0</v>
      </c>
      <c r="O124">
        <v>437</v>
      </c>
    </row>
    <row r="125" spans="1:15" x14ac:dyDescent="0.35">
      <c r="A125" s="1">
        <v>45903</v>
      </c>
      <c r="B125" t="s">
        <v>163</v>
      </c>
      <c r="C125" t="s">
        <v>123</v>
      </c>
      <c r="D125" t="s">
        <v>36</v>
      </c>
      <c r="E125">
        <v>82.5</v>
      </c>
      <c r="F125" t="s">
        <v>164</v>
      </c>
      <c r="G125">
        <v>82.5</v>
      </c>
      <c r="H125">
        <v>2025</v>
      </c>
      <c r="I125">
        <v>9</v>
      </c>
      <c r="J125" t="s">
        <v>30</v>
      </c>
      <c r="K125" s="1">
        <v>45903</v>
      </c>
      <c r="L125" t="s">
        <v>58</v>
      </c>
      <c r="M125" t="s">
        <v>39</v>
      </c>
      <c r="N125" t="b">
        <v>0</v>
      </c>
      <c r="O125">
        <v>438</v>
      </c>
    </row>
    <row r="126" spans="1:15" x14ac:dyDescent="0.35">
      <c r="A126" s="1">
        <v>46081</v>
      </c>
      <c r="B126" t="s">
        <v>165</v>
      </c>
      <c r="C126" t="s">
        <v>123</v>
      </c>
      <c r="D126" t="s">
        <v>36</v>
      </c>
      <c r="E126">
        <v>525</v>
      </c>
      <c r="F126" t="s">
        <v>166</v>
      </c>
      <c r="G126">
        <v>525</v>
      </c>
      <c r="H126">
        <v>2026</v>
      </c>
      <c r="I126">
        <v>2</v>
      </c>
      <c r="J126" t="s">
        <v>19</v>
      </c>
      <c r="K126" s="1">
        <v>46081</v>
      </c>
      <c r="L126" t="s">
        <v>20</v>
      </c>
      <c r="M126" t="s">
        <v>39</v>
      </c>
      <c r="N126" t="b">
        <v>0</v>
      </c>
      <c r="O126">
        <v>402</v>
      </c>
    </row>
    <row r="127" spans="1:15" x14ac:dyDescent="0.35">
      <c r="A127" s="1">
        <v>45890</v>
      </c>
      <c r="B127" t="s">
        <v>160</v>
      </c>
      <c r="C127" t="s">
        <v>123</v>
      </c>
      <c r="D127" t="s">
        <v>36</v>
      </c>
      <c r="E127">
        <v>135</v>
      </c>
      <c r="F127" t="s">
        <v>160</v>
      </c>
      <c r="G127">
        <v>135</v>
      </c>
      <c r="H127">
        <v>2025</v>
      </c>
      <c r="I127">
        <v>8</v>
      </c>
      <c r="J127" t="s">
        <v>71</v>
      </c>
      <c r="K127" s="1">
        <v>45890</v>
      </c>
      <c r="L127" t="s">
        <v>23</v>
      </c>
      <c r="M127" t="s">
        <v>39</v>
      </c>
      <c r="N127" t="b">
        <v>0</v>
      </c>
      <c r="O127">
        <v>451</v>
      </c>
    </row>
    <row r="128" spans="1:15" x14ac:dyDescent="0.35">
      <c r="A128" s="1">
        <v>45882</v>
      </c>
      <c r="B128" t="s">
        <v>167</v>
      </c>
      <c r="C128" t="s">
        <v>168</v>
      </c>
      <c r="D128" t="s">
        <v>36</v>
      </c>
      <c r="E128">
        <v>5.69</v>
      </c>
      <c r="F128" t="s">
        <v>169</v>
      </c>
      <c r="G128">
        <v>5.69</v>
      </c>
      <c r="H128">
        <v>2025</v>
      </c>
      <c r="I128">
        <v>8</v>
      </c>
      <c r="J128" t="s">
        <v>71</v>
      </c>
      <c r="K128" s="1">
        <v>45882</v>
      </c>
      <c r="L128" t="s">
        <v>58</v>
      </c>
      <c r="M128" t="s">
        <v>39</v>
      </c>
      <c r="N128" t="b">
        <v>0</v>
      </c>
      <c r="O128">
        <v>452</v>
      </c>
    </row>
    <row r="129" spans="1:15" x14ac:dyDescent="0.35">
      <c r="A129" s="1">
        <v>45874</v>
      </c>
      <c r="B129" t="s">
        <v>170</v>
      </c>
      <c r="C129" t="s">
        <v>158</v>
      </c>
      <c r="D129" t="s">
        <v>36</v>
      </c>
      <c r="E129">
        <v>40</v>
      </c>
      <c r="F129" t="s">
        <v>171</v>
      </c>
      <c r="G129">
        <v>40</v>
      </c>
      <c r="H129">
        <v>2025</v>
      </c>
      <c r="I129">
        <v>8</v>
      </c>
      <c r="J129" t="s">
        <v>71</v>
      </c>
      <c r="K129" s="1">
        <v>45874</v>
      </c>
      <c r="L129" t="s">
        <v>50</v>
      </c>
      <c r="M129" t="s">
        <v>39</v>
      </c>
      <c r="N129" t="b">
        <v>0</v>
      </c>
      <c r="O129">
        <v>453</v>
      </c>
    </row>
    <row r="130" spans="1:15" x14ac:dyDescent="0.35">
      <c r="A130" s="1">
        <v>46037</v>
      </c>
      <c r="B130" t="s">
        <v>122</v>
      </c>
      <c r="C130" t="s">
        <v>123</v>
      </c>
      <c r="D130" t="s">
        <v>36</v>
      </c>
      <c r="E130">
        <v>289.60000000000002</v>
      </c>
      <c r="F130" t="s">
        <v>124</v>
      </c>
      <c r="G130">
        <v>289.60000000000002</v>
      </c>
      <c r="H130">
        <v>2026</v>
      </c>
      <c r="I130">
        <v>1</v>
      </c>
      <c r="J130" t="s">
        <v>24</v>
      </c>
      <c r="K130" s="1">
        <v>46037</v>
      </c>
      <c r="L130" t="s">
        <v>23</v>
      </c>
      <c r="M130" t="s">
        <v>39</v>
      </c>
      <c r="N130" t="b">
        <v>0</v>
      </c>
      <c r="O130">
        <v>474</v>
      </c>
    </row>
    <row r="131" spans="1:15" x14ac:dyDescent="0.35">
      <c r="A131" s="1">
        <v>45876</v>
      </c>
      <c r="B131" t="s">
        <v>172</v>
      </c>
      <c r="C131" t="s">
        <v>123</v>
      </c>
      <c r="D131" t="s">
        <v>36</v>
      </c>
      <c r="E131">
        <v>338.4</v>
      </c>
      <c r="F131" t="s">
        <v>172</v>
      </c>
      <c r="G131">
        <v>338.4</v>
      </c>
      <c r="H131">
        <v>2025</v>
      </c>
      <c r="I131">
        <v>8</v>
      </c>
      <c r="J131" t="s">
        <v>71</v>
      </c>
      <c r="K131" s="1">
        <v>45876</v>
      </c>
      <c r="L131" t="s">
        <v>23</v>
      </c>
      <c r="M131" t="s">
        <v>39</v>
      </c>
      <c r="N131" t="b">
        <v>0</v>
      </c>
      <c r="O131">
        <v>495</v>
      </c>
    </row>
    <row r="132" spans="1:15" x14ac:dyDescent="0.35">
      <c r="A132" s="1">
        <v>45855</v>
      </c>
      <c r="B132" t="s">
        <v>172</v>
      </c>
      <c r="C132" t="s">
        <v>123</v>
      </c>
      <c r="D132" t="s">
        <v>36</v>
      </c>
      <c r="E132">
        <v>733</v>
      </c>
      <c r="F132" t="s">
        <v>172</v>
      </c>
      <c r="G132">
        <v>733</v>
      </c>
      <c r="H132">
        <v>2025</v>
      </c>
      <c r="I132">
        <v>7</v>
      </c>
      <c r="J132" t="s">
        <v>73</v>
      </c>
      <c r="K132" s="1">
        <v>45855</v>
      </c>
      <c r="L132" t="s">
        <v>23</v>
      </c>
      <c r="M132" t="s">
        <v>39</v>
      </c>
      <c r="N132" t="b">
        <v>0</v>
      </c>
      <c r="O132">
        <v>496</v>
      </c>
    </row>
    <row r="133" spans="1:15" x14ac:dyDescent="0.35">
      <c r="A133" s="1">
        <v>45832</v>
      </c>
      <c r="B133" t="s">
        <v>172</v>
      </c>
      <c r="C133" t="s">
        <v>123</v>
      </c>
      <c r="D133" t="s">
        <v>36</v>
      </c>
      <c r="E133">
        <v>846</v>
      </c>
      <c r="F133" t="s">
        <v>172</v>
      </c>
      <c r="G133">
        <v>846</v>
      </c>
      <c r="H133">
        <v>2025</v>
      </c>
      <c r="I133">
        <v>6</v>
      </c>
      <c r="J133" t="s">
        <v>33</v>
      </c>
      <c r="K133" s="1">
        <v>45832</v>
      </c>
      <c r="L133" t="s">
        <v>50</v>
      </c>
      <c r="M133" t="s">
        <v>39</v>
      </c>
      <c r="N133" t="b">
        <v>0</v>
      </c>
      <c r="O133">
        <v>511</v>
      </c>
    </row>
    <row r="134" spans="1:15" x14ac:dyDescent="0.35">
      <c r="A134" s="1">
        <v>45969</v>
      </c>
      <c r="B134" t="s">
        <v>173</v>
      </c>
      <c r="C134" t="s">
        <v>158</v>
      </c>
      <c r="D134" t="s">
        <v>36</v>
      </c>
      <c r="E134">
        <v>20</v>
      </c>
      <c r="F134" t="s">
        <v>174</v>
      </c>
      <c r="G134">
        <v>20</v>
      </c>
      <c r="H134">
        <v>2025</v>
      </c>
      <c r="I134">
        <v>11</v>
      </c>
      <c r="J134" t="s">
        <v>68</v>
      </c>
      <c r="K134" s="1">
        <v>45969</v>
      </c>
      <c r="L134" t="s">
        <v>20</v>
      </c>
      <c r="M134" t="s">
        <v>39</v>
      </c>
      <c r="N134" t="b">
        <v>0</v>
      </c>
      <c r="O134">
        <v>461</v>
      </c>
    </row>
    <row r="135" spans="1:15" x14ac:dyDescent="0.35">
      <c r="A135" s="1">
        <v>45854</v>
      </c>
      <c r="B135" t="s">
        <v>175</v>
      </c>
      <c r="C135" t="s">
        <v>168</v>
      </c>
      <c r="D135" t="s">
        <v>36</v>
      </c>
      <c r="E135">
        <v>12</v>
      </c>
      <c r="F135" t="s">
        <v>176</v>
      </c>
      <c r="G135">
        <v>12</v>
      </c>
      <c r="H135">
        <v>2025</v>
      </c>
      <c r="I135">
        <v>7</v>
      </c>
      <c r="J135" t="s">
        <v>73</v>
      </c>
      <c r="K135" s="1">
        <v>45854</v>
      </c>
      <c r="L135" t="s">
        <v>58</v>
      </c>
      <c r="M135" t="s">
        <v>39</v>
      </c>
      <c r="N135" t="b">
        <v>0</v>
      </c>
      <c r="O135">
        <v>494</v>
      </c>
    </row>
    <row r="136" spans="1:15" x14ac:dyDescent="0.35">
      <c r="A136" s="1">
        <v>46101</v>
      </c>
      <c r="B136" t="s">
        <v>177</v>
      </c>
      <c r="C136" t="s">
        <v>178</v>
      </c>
      <c r="D136" t="s">
        <v>36</v>
      </c>
      <c r="E136">
        <v>138.6</v>
      </c>
      <c r="F136" t="s">
        <v>179</v>
      </c>
      <c r="G136">
        <v>138.6</v>
      </c>
      <c r="H136">
        <v>2026</v>
      </c>
      <c r="I136">
        <v>3</v>
      </c>
      <c r="J136" t="s">
        <v>48</v>
      </c>
      <c r="K136" s="1">
        <v>46101</v>
      </c>
      <c r="L136" t="s">
        <v>31</v>
      </c>
      <c r="M136" t="s">
        <v>39</v>
      </c>
      <c r="N136" t="b">
        <v>0</v>
      </c>
      <c r="O136">
        <v>578</v>
      </c>
    </row>
    <row r="137" spans="1:15" x14ac:dyDescent="0.35">
      <c r="A137" s="1">
        <v>46045</v>
      </c>
      <c r="B137" t="s">
        <v>180</v>
      </c>
      <c r="C137" t="s">
        <v>137</v>
      </c>
      <c r="D137" t="s">
        <v>36</v>
      </c>
      <c r="E137">
        <v>12.6</v>
      </c>
      <c r="F137" t="s">
        <v>181</v>
      </c>
      <c r="G137">
        <v>12.6</v>
      </c>
      <c r="H137">
        <v>2026</v>
      </c>
      <c r="I137">
        <v>1</v>
      </c>
      <c r="J137" t="s">
        <v>24</v>
      </c>
      <c r="K137" s="1">
        <v>46045</v>
      </c>
      <c r="L137" t="s">
        <v>31</v>
      </c>
      <c r="M137" t="s">
        <v>39</v>
      </c>
      <c r="N137" t="b">
        <v>1</v>
      </c>
      <c r="O137">
        <v>202</v>
      </c>
    </row>
    <row r="138" spans="1:15" x14ac:dyDescent="0.35">
      <c r="A138" s="1">
        <v>46073</v>
      </c>
      <c r="B138" s="2" t="s">
        <v>182</v>
      </c>
      <c r="C138" t="s">
        <v>178</v>
      </c>
      <c r="D138" t="s">
        <v>36</v>
      </c>
      <c r="E138">
        <v>138.6</v>
      </c>
      <c r="F138" t="s">
        <v>179</v>
      </c>
      <c r="G138">
        <v>138.6</v>
      </c>
      <c r="H138">
        <v>2026</v>
      </c>
      <c r="I138">
        <v>2</v>
      </c>
      <c r="J138" t="s">
        <v>19</v>
      </c>
      <c r="K138" s="1">
        <v>46073</v>
      </c>
      <c r="L138" t="s">
        <v>31</v>
      </c>
      <c r="M138" t="s">
        <v>39</v>
      </c>
      <c r="N138" t="b">
        <v>0</v>
      </c>
      <c r="O138">
        <v>579</v>
      </c>
    </row>
    <row r="139" spans="1:15" x14ac:dyDescent="0.35">
      <c r="A139" s="1">
        <v>45926</v>
      </c>
      <c r="B139" s="2" t="s">
        <v>183</v>
      </c>
      <c r="C139" t="s">
        <v>158</v>
      </c>
      <c r="D139" t="s">
        <v>36</v>
      </c>
      <c r="E139">
        <v>40</v>
      </c>
      <c r="F139" t="s">
        <v>184</v>
      </c>
      <c r="G139">
        <v>40</v>
      </c>
      <c r="H139">
        <v>2025</v>
      </c>
      <c r="I139">
        <v>9</v>
      </c>
      <c r="J139" t="s">
        <v>30</v>
      </c>
      <c r="K139" s="1">
        <v>45926</v>
      </c>
      <c r="L139" t="s">
        <v>31</v>
      </c>
      <c r="M139" t="s">
        <v>39</v>
      </c>
      <c r="N139" t="b">
        <v>0</v>
      </c>
      <c r="O139">
        <v>611</v>
      </c>
    </row>
    <row r="140" spans="1:15" x14ac:dyDescent="0.35">
      <c r="A140" s="1">
        <v>45949</v>
      </c>
      <c r="B140" t="s">
        <v>185</v>
      </c>
      <c r="C140" t="s">
        <v>186</v>
      </c>
      <c r="D140" t="s">
        <v>36</v>
      </c>
      <c r="E140">
        <v>49.5</v>
      </c>
      <c r="F140" t="s">
        <v>187</v>
      </c>
      <c r="G140">
        <v>49.5</v>
      </c>
      <c r="H140">
        <v>2025</v>
      </c>
      <c r="I140">
        <v>10</v>
      </c>
      <c r="J140" t="s">
        <v>57</v>
      </c>
      <c r="K140" s="1">
        <v>45949</v>
      </c>
      <c r="L140" t="s">
        <v>41</v>
      </c>
      <c r="M140" t="s">
        <v>39</v>
      </c>
      <c r="N140" t="b">
        <v>1</v>
      </c>
      <c r="O140">
        <v>225</v>
      </c>
    </row>
    <row r="141" spans="1:15" x14ac:dyDescent="0.35">
      <c r="A141" s="1">
        <v>46002</v>
      </c>
      <c r="B141" t="s">
        <v>188</v>
      </c>
      <c r="C141" t="s">
        <v>137</v>
      </c>
      <c r="D141" t="s">
        <v>36</v>
      </c>
      <c r="E141">
        <v>7.38</v>
      </c>
      <c r="F141" t="s">
        <v>189</v>
      </c>
      <c r="G141">
        <v>7.38</v>
      </c>
      <c r="H141">
        <v>2025</v>
      </c>
      <c r="I141">
        <v>12</v>
      </c>
      <c r="J141" t="s">
        <v>66</v>
      </c>
      <c r="K141" s="1">
        <v>46002</v>
      </c>
      <c r="L141" t="s">
        <v>23</v>
      </c>
      <c r="M141" t="s">
        <v>39</v>
      </c>
      <c r="N141" t="b">
        <v>1</v>
      </c>
      <c r="O141">
        <v>218</v>
      </c>
    </row>
    <row r="142" spans="1:15" x14ac:dyDescent="0.35">
      <c r="A142" s="1">
        <v>46006</v>
      </c>
      <c r="B142" t="s">
        <v>122</v>
      </c>
      <c r="C142" t="s">
        <v>123</v>
      </c>
      <c r="D142" t="s">
        <v>36</v>
      </c>
      <c r="E142">
        <v>362</v>
      </c>
      <c r="F142" t="s">
        <v>124</v>
      </c>
      <c r="G142">
        <v>362</v>
      </c>
      <c r="H142">
        <v>2025</v>
      </c>
      <c r="I142">
        <v>12</v>
      </c>
      <c r="J142" t="s">
        <v>66</v>
      </c>
      <c r="K142" s="1">
        <v>46006</v>
      </c>
      <c r="L142" t="s">
        <v>38</v>
      </c>
      <c r="M142" t="s">
        <v>39</v>
      </c>
      <c r="N142" t="b">
        <v>0</v>
      </c>
      <c r="O142">
        <v>541</v>
      </c>
    </row>
    <row r="143" spans="1:15" x14ac:dyDescent="0.35">
      <c r="A143" s="1">
        <v>45783</v>
      </c>
      <c r="B143" t="s">
        <v>122</v>
      </c>
      <c r="C143" t="s">
        <v>123</v>
      </c>
      <c r="D143" t="s">
        <v>36</v>
      </c>
      <c r="E143">
        <v>751.6</v>
      </c>
      <c r="F143" t="s">
        <v>124</v>
      </c>
      <c r="G143">
        <v>751.6</v>
      </c>
      <c r="H143">
        <v>2025</v>
      </c>
      <c r="I143">
        <v>5</v>
      </c>
      <c r="J143" t="s">
        <v>75</v>
      </c>
      <c r="K143" s="1">
        <v>45783</v>
      </c>
      <c r="L143" t="s">
        <v>50</v>
      </c>
      <c r="M143" t="s">
        <v>39</v>
      </c>
      <c r="N143" t="b">
        <v>0</v>
      </c>
      <c r="O143">
        <v>562</v>
      </c>
    </row>
    <row r="144" spans="1:15" x14ac:dyDescent="0.35">
      <c r="A144" s="1">
        <v>45779</v>
      </c>
      <c r="B144" t="s">
        <v>190</v>
      </c>
      <c r="C144" t="s">
        <v>137</v>
      </c>
      <c r="D144" t="s">
        <v>36</v>
      </c>
      <c r="E144">
        <v>19.05</v>
      </c>
      <c r="F144" t="s">
        <v>191</v>
      </c>
      <c r="G144">
        <v>19.05</v>
      </c>
      <c r="H144">
        <v>2025</v>
      </c>
      <c r="I144">
        <v>5</v>
      </c>
      <c r="J144" t="s">
        <v>75</v>
      </c>
      <c r="K144" s="1">
        <v>45779</v>
      </c>
      <c r="L144" t="s">
        <v>31</v>
      </c>
      <c r="M144" t="s">
        <v>39</v>
      </c>
      <c r="N144" t="b">
        <v>1</v>
      </c>
      <c r="O144">
        <v>301</v>
      </c>
    </row>
    <row r="145" spans="1:15" x14ac:dyDescent="0.35">
      <c r="A145" s="1">
        <v>45797</v>
      </c>
      <c r="B145" t="s">
        <v>192</v>
      </c>
      <c r="C145" t="s">
        <v>137</v>
      </c>
      <c r="D145" t="s">
        <v>36</v>
      </c>
      <c r="E145">
        <v>7.11</v>
      </c>
      <c r="F145" t="s">
        <v>138</v>
      </c>
      <c r="G145">
        <v>7.11</v>
      </c>
      <c r="H145">
        <v>2025</v>
      </c>
      <c r="I145">
        <v>5</v>
      </c>
      <c r="J145" t="s">
        <v>75</v>
      </c>
      <c r="K145" s="1">
        <v>45797</v>
      </c>
      <c r="L145" t="s">
        <v>50</v>
      </c>
      <c r="M145" t="s">
        <v>39</v>
      </c>
      <c r="N145" t="b">
        <v>1</v>
      </c>
      <c r="O145">
        <v>302</v>
      </c>
    </row>
    <row r="146" spans="1:15" x14ac:dyDescent="0.35">
      <c r="A146" s="1">
        <v>45793</v>
      </c>
      <c r="B146" t="s">
        <v>192</v>
      </c>
      <c r="C146" t="s">
        <v>137</v>
      </c>
      <c r="D146" t="s">
        <v>36</v>
      </c>
      <c r="E146">
        <v>3.88</v>
      </c>
      <c r="F146" t="s">
        <v>138</v>
      </c>
      <c r="G146">
        <v>3.88</v>
      </c>
      <c r="H146">
        <v>2025</v>
      </c>
      <c r="I146">
        <v>5</v>
      </c>
      <c r="J146" t="s">
        <v>75</v>
      </c>
      <c r="K146" s="1">
        <v>45793</v>
      </c>
      <c r="L146" t="s">
        <v>31</v>
      </c>
      <c r="M146" t="s">
        <v>39</v>
      </c>
      <c r="N146" t="b">
        <v>1</v>
      </c>
      <c r="O146">
        <v>303</v>
      </c>
    </row>
    <row r="147" spans="1:15" x14ac:dyDescent="0.35">
      <c r="A147" s="1">
        <v>46039</v>
      </c>
      <c r="B147" t="s">
        <v>193</v>
      </c>
      <c r="C147" t="s">
        <v>16</v>
      </c>
      <c r="D147" t="s">
        <v>36</v>
      </c>
      <c r="E147">
        <v>179.18</v>
      </c>
      <c r="F147" t="s">
        <v>156</v>
      </c>
      <c r="G147">
        <v>179.18</v>
      </c>
      <c r="H147">
        <v>2026</v>
      </c>
      <c r="I147">
        <v>1</v>
      </c>
      <c r="J147" t="s">
        <v>24</v>
      </c>
      <c r="K147" s="1">
        <v>46039</v>
      </c>
      <c r="L147" t="s">
        <v>20</v>
      </c>
      <c r="M147" t="s">
        <v>39</v>
      </c>
      <c r="N147" t="b">
        <v>1</v>
      </c>
      <c r="O147">
        <v>1018</v>
      </c>
    </row>
    <row r="148" spans="1:15" x14ac:dyDescent="0.35">
      <c r="A148" s="1">
        <v>45910</v>
      </c>
      <c r="B148" t="s">
        <v>194</v>
      </c>
      <c r="C148" t="s">
        <v>16</v>
      </c>
      <c r="D148" t="s">
        <v>36</v>
      </c>
      <c r="E148">
        <v>9.67</v>
      </c>
      <c r="F148" t="s">
        <v>156</v>
      </c>
      <c r="G148">
        <v>9.67</v>
      </c>
      <c r="H148">
        <v>2025</v>
      </c>
      <c r="I148">
        <v>9</v>
      </c>
      <c r="J148" t="s">
        <v>30</v>
      </c>
      <c r="K148" s="1">
        <v>45910</v>
      </c>
      <c r="L148" t="s">
        <v>58</v>
      </c>
      <c r="M148" t="s">
        <v>39</v>
      </c>
      <c r="N148" t="b">
        <v>1</v>
      </c>
      <c r="O148">
        <v>557</v>
      </c>
    </row>
    <row r="149" spans="1:15" x14ac:dyDescent="0.35">
      <c r="A149" s="1">
        <v>45827</v>
      </c>
      <c r="B149" t="s">
        <v>195</v>
      </c>
      <c r="C149" t="s">
        <v>16</v>
      </c>
      <c r="D149" t="s">
        <v>36</v>
      </c>
      <c r="E149">
        <v>84.25</v>
      </c>
      <c r="F149" t="s">
        <v>156</v>
      </c>
      <c r="G149">
        <v>84.25</v>
      </c>
      <c r="H149">
        <v>2025</v>
      </c>
      <c r="I149">
        <v>6</v>
      </c>
      <c r="J149" t="s">
        <v>33</v>
      </c>
      <c r="K149" s="1">
        <v>45827</v>
      </c>
      <c r="L149" t="s">
        <v>23</v>
      </c>
      <c r="M149" t="s">
        <v>39</v>
      </c>
      <c r="N149" t="b">
        <v>1</v>
      </c>
      <c r="O149">
        <v>568</v>
      </c>
    </row>
    <row r="150" spans="1:15" x14ac:dyDescent="0.35">
      <c r="A150" s="1">
        <v>45864</v>
      </c>
      <c r="B150" t="s">
        <v>196</v>
      </c>
      <c r="C150" t="s">
        <v>16</v>
      </c>
      <c r="D150" t="s">
        <v>17</v>
      </c>
      <c r="E150">
        <v>-21.38</v>
      </c>
      <c r="F150" t="s">
        <v>156</v>
      </c>
      <c r="G150">
        <v>21.38</v>
      </c>
      <c r="H150">
        <v>2025</v>
      </c>
      <c r="I150">
        <v>7</v>
      </c>
      <c r="J150" t="s">
        <v>73</v>
      </c>
      <c r="K150" s="1">
        <v>45864</v>
      </c>
      <c r="L150" t="s">
        <v>20</v>
      </c>
      <c r="M150" t="s">
        <v>21</v>
      </c>
      <c r="N150" t="b">
        <v>1</v>
      </c>
      <c r="O150">
        <v>532</v>
      </c>
    </row>
    <row r="151" spans="1:15" x14ac:dyDescent="0.35">
      <c r="A151" s="1">
        <v>45816</v>
      </c>
      <c r="B151" t="s">
        <v>84</v>
      </c>
      <c r="C151" t="s">
        <v>16</v>
      </c>
      <c r="D151" t="s">
        <v>36</v>
      </c>
      <c r="E151">
        <v>20.57</v>
      </c>
      <c r="F151" t="s">
        <v>84</v>
      </c>
      <c r="G151">
        <v>20.57</v>
      </c>
      <c r="H151">
        <v>2025</v>
      </c>
      <c r="I151">
        <v>6</v>
      </c>
      <c r="J151" t="s">
        <v>33</v>
      </c>
      <c r="K151" s="1">
        <v>45816</v>
      </c>
      <c r="L151" t="s">
        <v>41</v>
      </c>
      <c r="M151" t="s">
        <v>39</v>
      </c>
      <c r="N151" t="b">
        <v>1</v>
      </c>
      <c r="O151">
        <v>392</v>
      </c>
    </row>
    <row r="152" spans="1:15" x14ac:dyDescent="0.35">
      <c r="A152" s="1">
        <v>46000</v>
      </c>
      <c r="B152" t="s">
        <v>194</v>
      </c>
      <c r="C152" t="s">
        <v>16</v>
      </c>
      <c r="D152" t="s">
        <v>36</v>
      </c>
      <c r="E152">
        <v>87.09</v>
      </c>
      <c r="F152" t="s">
        <v>156</v>
      </c>
      <c r="G152">
        <v>87.09</v>
      </c>
      <c r="H152">
        <v>2025</v>
      </c>
      <c r="I152">
        <v>12</v>
      </c>
      <c r="J152" t="s">
        <v>66</v>
      </c>
      <c r="K152" s="1">
        <v>46000</v>
      </c>
      <c r="L152" t="s">
        <v>50</v>
      </c>
      <c r="M152" t="s">
        <v>39</v>
      </c>
      <c r="N152" t="b">
        <v>1</v>
      </c>
      <c r="O152">
        <v>441</v>
      </c>
    </row>
    <row r="153" spans="1:15" x14ac:dyDescent="0.35">
      <c r="A153" s="1">
        <v>45917</v>
      </c>
      <c r="B153" t="s">
        <v>155</v>
      </c>
      <c r="C153" t="s">
        <v>16</v>
      </c>
      <c r="D153" t="s">
        <v>17</v>
      </c>
      <c r="E153">
        <v>-9.7200000000000006</v>
      </c>
      <c r="F153" t="s">
        <v>156</v>
      </c>
      <c r="G153">
        <v>9.7200000000000006</v>
      </c>
      <c r="H153">
        <v>2025</v>
      </c>
      <c r="I153">
        <v>9</v>
      </c>
      <c r="J153" t="s">
        <v>30</v>
      </c>
      <c r="K153" s="1">
        <v>45917</v>
      </c>
      <c r="L153" t="s">
        <v>58</v>
      </c>
      <c r="M153" t="s">
        <v>21</v>
      </c>
      <c r="N153" t="b">
        <v>1</v>
      </c>
      <c r="O153">
        <v>514</v>
      </c>
    </row>
    <row r="154" spans="1:15" x14ac:dyDescent="0.35">
      <c r="A154" s="1">
        <v>46013</v>
      </c>
      <c r="B154" t="s">
        <v>197</v>
      </c>
      <c r="C154" t="s">
        <v>16</v>
      </c>
      <c r="D154" t="s">
        <v>36</v>
      </c>
      <c r="E154">
        <v>113.01</v>
      </c>
      <c r="F154" t="s">
        <v>156</v>
      </c>
      <c r="G154">
        <v>113.01</v>
      </c>
      <c r="H154">
        <v>2025</v>
      </c>
      <c r="I154">
        <v>12</v>
      </c>
      <c r="J154" t="s">
        <v>66</v>
      </c>
      <c r="K154" s="1">
        <v>46013</v>
      </c>
      <c r="L154" t="s">
        <v>38</v>
      </c>
      <c r="M154" t="s">
        <v>39</v>
      </c>
      <c r="N154" t="b">
        <v>1</v>
      </c>
      <c r="O154">
        <v>1064</v>
      </c>
    </row>
    <row r="155" spans="1:15" x14ac:dyDescent="0.35">
      <c r="A155" s="1">
        <v>45811</v>
      </c>
      <c r="B155" t="s">
        <v>197</v>
      </c>
      <c r="C155" t="s">
        <v>16</v>
      </c>
      <c r="D155" t="s">
        <v>17</v>
      </c>
      <c r="E155">
        <v>-74.69</v>
      </c>
      <c r="F155" t="s">
        <v>156</v>
      </c>
      <c r="G155">
        <v>74.69</v>
      </c>
      <c r="H155">
        <v>2025</v>
      </c>
      <c r="I155">
        <v>6</v>
      </c>
      <c r="J155" t="s">
        <v>33</v>
      </c>
      <c r="K155" s="1">
        <v>45811</v>
      </c>
      <c r="L155" t="s">
        <v>50</v>
      </c>
      <c r="M155" t="s">
        <v>21</v>
      </c>
      <c r="N155" t="b">
        <v>1</v>
      </c>
      <c r="O155">
        <v>597</v>
      </c>
    </row>
    <row r="156" spans="1:15" x14ac:dyDescent="0.35">
      <c r="A156" s="1">
        <v>45877</v>
      </c>
      <c r="B156" t="s">
        <v>194</v>
      </c>
      <c r="C156" t="s">
        <v>16</v>
      </c>
      <c r="D156" t="s">
        <v>36</v>
      </c>
      <c r="E156">
        <v>19.600000000000001</v>
      </c>
      <c r="F156" t="s">
        <v>156</v>
      </c>
      <c r="G156">
        <v>19.600000000000001</v>
      </c>
      <c r="H156">
        <v>2025</v>
      </c>
      <c r="I156">
        <v>8</v>
      </c>
      <c r="J156" t="s">
        <v>71</v>
      </c>
      <c r="K156" s="1">
        <v>45877</v>
      </c>
      <c r="L156" t="s">
        <v>31</v>
      </c>
      <c r="M156" t="s">
        <v>39</v>
      </c>
      <c r="N156" t="b">
        <v>1</v>
      </c>
      <c r="O156">
        <v>485</v>
      </c>
    </row>
    <row r="157" spans="1:15" x14ac:dyDescent="0.35">
      <c r="A157" s="1">
        <v>45873</v>
      </c>
      <c r="B157" t="s">
        <v>194</v>
      </c>
      <c r="C157" t="s">
        <v>16</v>
      </c>
      <c r="D157" t="s">
        <v>36</v>
      </c>
      <c r="E157">
        <v>47.52</v>
      </c>
      <c r="F157" t="s">
        <v>156</v>
      </c>
      <c r="G157">
        <v>47.52</v>
      </c>
      <c r="H157">
        <v>2025</v>
      </c>
      <c r="I157">
        <v>8</v>
      </c>
      <c r="J157" t="s">
        <v>71</v>
      </c>
      <c r="K157" s="1">
        <v>45873</v>
      </c>
      <c r="L157" t="s">
        <v>38</v>
      </c>
      <c r="M157" t="s">
        <v>39</v>
      </c>
      <c r="N157" t="b">
        <v>1</v>
      </c>
      <c r="O157">
        <v>486</v>
      </c>
    </row>
    <row r="158" spans="1:15" x14ac:dyDescent="0.35">
      <c r="A158" s="1">
        <v>46018</v>
      </c>
      <c r="B158" t="s">
        <v>198</v>
      </c>
      <c r="C158" t="s">
        <v>16</v>
      </c>
      <c r="D158" t="s">
        <v>36</v>
      </c>
      <c r="E158">
        <v>12.96</v>
      </c>
      <c r="F158" t="s">
        <v>156</v>
      </c>
      <c r="G158">
        <v>12.96</v>
      </c>
      <c r="H158">
        <v>2025</v>
      </c>
      <c r="I158">
        <v>12</v>
      </c>
      <c r="J158" t="s">
        <v>66</v>
      </c>
      <c r="K158" s="1">
        <v>46018</v>
      </c>
      <c r="L158" t="s">
        <v>20</v>
      </c>
      <c r="M158" t="s">
        <v>39</v>
      </c>
      <c r="N158" t="b">
        <v>1</v>
      </c>
      <c r="O158">
        <v>547</v>
      </c>
    </row>
    <row r="159" spans="1:15" x14ac:dyDescent="0.35">
      <c r="A159" s="1">
        <v>45876</v>
      </c>
      <c r="B159" t="s">
        <v>197</v>
      </c>
      <c r="C159" t="s">
        <v>16</v>
      </c>
      <c r="D159" t="s">
        <v>36</v>
      </c>
      <c r="E159">
        <v>84.15</v>
      </c>
      <c r="F159" t="s">
        <v>156</v>
      </c>
      <c r="G159">
        <v>84.15</v>
      </c>
      <c r="H159">
        <v>2025</v>
      </c>
      <c r="I159">
        <v>8</v>
      </c>
      <c r="J159" t="s">
        <v>71</v>
      </c>
      <c r="K159" s="1">
        <v>45876</v>
      </c>
      <c r="L159" t="s">
        <v>23</v>
      </c>
      <c r="M159" t="s">
        <v>39</v>
      </c>
      <c r="N159" t="b">
        <v>1</v>
      </c>
      <c r="O159">
        <v>594</v>
      </c>
    </row>
    <row r="160" spans="1:15" x14ac:dyDescent="0.35">
      <c r="A160" s="1">
        <v>45955</v>
      </c>
      <c r="B160" t="s">
        <v>197</v>
      </c>
      <c r="C160" t="s">
        <v>16</v>
      </c>
      <c r="D160" t="s">
        <v>36</v>
      </c>
      <c r="E160">
        <v>52.88</v>
      </c>
      <c r="F160" t="s">
        <v>156</v>
      </c>
      <c r="G160">
        <v>52.88</v>
      </c>
      <c r="H160">
        <v>2025</v>
      </c>
      <c r="I160">
        <v>10</v>
      </c>
      <c r="J160" t="s">
        <v>57</v>
      </c>
      <c r="K160" s="1">
        <v>45955</v>
      </c>
      <c r="L160" t="s">
        <v>20</v>
      </c>
      <c r="M160" t="s">
        <v>39</v>
      </c>
      <c r="N160" t="b">
        <v>1</v>
      </c>
      <c r="O160">
        <v>587</v>
      </c>
    </row>
    <row r="161" spans="1:15" x14ac:dyDescent="0.35">
      <c r="A161" s="1">
        <v>45816</v>
      </c>
      <c r="B161" t="s">
        <v>194</v>
      </c>
      <c r="C161" t="s">
        <v>16</v>
      </c>
      <c r="D161" t="s">
        <v>36</v>
      </c>
      <c r="E161">
        <v>64.489999999999995</v>
      </c>
      <c r="F161" t="s">
        <v>156</v>
      </c>
      <c r="G161">
        <v>64.489999999999995</v>
      </c>
      <c r="H161">
        <v>2025</v>
      </c>
      <c r="I161">
        <v>6</v>
      </c>
      <c r="J161" t="s">
        <v>33</v>
      </c>
      <c r="K161" s="1">
        <v>45816</v>
      </c>
      <c r="L161" t="s">
        <v>41</v>
      </c>
      <c r="M161" t="s">
        <v>39</v>
      </c>
      <c r="N161" t="b">
        <v>1</v>
      </c>
      <c r="O161">
        <v>569</v>
      </c>
    </row>
    <row r="162" spans="1:15" x14ac:dyDescent="0.35">
      <c r="A162" s="1">
        <v>45857</v>
      </c>
      <c r="B162" t="s">
        <v>199</v>
      </c>
      <c r="C162" t="s">
        <v>16</v>
      </c>
      <c r="D162" t="s">
        <v>36</v>
      </c>
      <c r="E162">
        <v>69.47</v>
      </c>
      <c r="F162" t="s">
        <v>156</v>
      </c>
      <c r="G162">
        <v>69.47</v>
      </c>
      <c r="H162">
        <v>2025</v>
      </c>
      <c r="I162">
        <v>7</v>
      </c>
      <c r="J162" t="s">
        <v>73</v>
      </c>
      <c r="K162" s="1">
        <v>45857</v>
      </c>
      <c r="L162" t="s">
        <v>20</v>
      </c>
      <c r="M162" t="s">
        <v>39</v>
      </c>
      <c r="N162" t="b">
        <v>1</v>
      </c>
      <c r="O162">
        <v>673</v>
      </c>
    </row>
    <row r="163" spans="1:15" x14ac:dyDescent="0.35">
      <c r="A163" s="1">
        <v>45787</v>
      </c>
      <c r="B163" t="s">
        <v>194</v>
      </c>
      <c r="C163" t="s">
        <v>16</v>
      </c>
      <c r="D163" t="s">
        <v>36</v>
      </c>
      <c r="E163">
        <v>114.92</v>
      </c>
      <c r="F163" t="s">
        <v>156</v>
      </c>
      <c r="G163">
        <v>114.92</v>
      </c>
      <c r="H163">
        <v>2025</v>
      </c>
      <c r="I163">
        <v>5</v>
      </c>
      <c r="J163" t="s">
        <v>75</v>
      </c>
      <c r="K163" s="1">
        <v>45787</v>
      </c>
      <c r="L163" t="s">
        <v>20</v>
      </c>
      <c r="M163" t="s">
        <v>39</v>
      </c>
      <c r="N163" t="b">
        <v>1</v>
      </c>
      <c r="O163">
        <v>574</v>
      </c>
    </row>
    <row r="164" spans="1:15" x14ac:dyDescent="0.35">
      <c r="A164" s="1">
        <v>45951</v>
      </c>
      <c r="B164" t="s">
        <v>155</v>
      </c>
      <c r="C164" t="s">
        <v>16</v>
      </c>
      <c r="D164" t="s">
        <v>36</v>
      </c>
      <c r="E164">
        <v>320.13</v>
      </c>
      <c r="F164" t="s">
        <v>156</v>
      </c>
      <c r="G164">
        <v>320.13</v>
      </c>
      <c r="H164">
        <v>2025</v>
      </c>
      <c r="I164">
        <v>10</v>
      </c>
      <c r="J164" t="s">
        <v>57</v>
      </c>
      <c r="K164" s="1">
        <v>45951</v>
      </c>
      <c r="L164" t="s">
        <v>50</v>
      </c>
      <c r="M164" t="s">
        <v>39</v>
      </c>
      <c r="N164" t="b">
        <v>1</v>
      </c>
      <c r="O164">
        <v>512</v>
      </c>
    </row>
    <row r="165" spans="1:15" x14ac:dyDescent="0.35">
      <c r="A165" s="1">
        <v>46064</v>
      </c>
      <c r="B165" t="s">
        <v>200</v>
      </c>
      <c r="C165" t="s">
        <v>16</v>
      </c>
      <c r="D165" t="s">
        <v>36</v>
      </c>
      <c r="E165">
        <v>5.84</v>
      </c>
      <c r="F165" t="s">
        <v>156</v>
      </c>
      <c r="G165">
        <v>5.84</v>
      </c>
      <c r="H165">
        <v>2026</v>
      </c>
      <c r="I165">
        <v>2</v>
      </c>
      <c r="J165" t="s">
        <v>19</v>
      </c>
      <c r="K165" s="1">
        <v>46064</v>
      </c>
      <c r="L165" t="s">
        <v>58</v>
      </c>
      <c r="M165" t="s">
        <v>39</v>
      </c>
      <c r="N165" t="b">
        <v>1</v>
      </c>
      <c r="O165">
        <v>458</v>
      </c>
    </row>
    <row r="166" spans="1:15" x14ac:dyDescent="0.35">
      <c r="A166" s="1">
        <v>45795</v>
      </c>
      <c r="B166" t="s">
        <v>201</v>
      </c>
      <c r="C166" t="s">
        <v>16</v>
      </c>
      <c r="D166" t="s">
        <v>36</v>
      </c>
      <c r="E166">
        <v>273.62</v>
      </c>
      <c r="F166" t="s">
        <v>156</v>
      </c>
      <c r="G166">
        <v>273.62</v>
      </c>
      <c r="H166">
        <v>2025</v>
      </c>
      <c r="I166">
        <v>5</v>
      </c>
      <c r="J166" t="s">
        <v>75</v>
      </c>
      <c r="K166" s="1">
        <v>45795</v>
      </c>
      <c r="L166" t="s">
        <v>41</v>
      </c>
      <c r="M166" t="s">
        <v>39</v>
      </c>
      <c r="N166" t="b">
        <v>1</v>
      </c>
      <c r="O166">
        <v>572</v>
      </c>
    </row>
    <row r="167" spans="1:15" x14ac:dyDescent="0.35">
      <c r="A167" s="1">
        <v>45858</v>
      </c>
      <c r="B167" t="s">
        <v>199</v>
      </c>
      <c r="C167" t="s">
        <v>16</v>
      </c>
      <c r="D167" t="s">
        <v>36</v>
      </c>
      <c r="E167">
        <v>31.41</v>
      </c>
      <c r="F167" t="s">
        <v>156</v>
      </c>
      <c r="G167">
        <v>31.41</v>
      </c>
      <c r="H167">
        <v>2025</v>
      </c>
      <c r="I167">
        <v>7</v>
      </c>
      <c r="J167" t="s">
        <v>73</v>
      </c>
      <c r="K167" s="1">
        <v>45858</v>
      </c>
      <c r="L167" t="s">
        <v>41</v>
      </c>
      <c r="M167" t="s">
        <v>39</v>
      </c>
      <c r="N167" t="b">
        <v>1</v>
      </c>
      <c r="O167">
        <v>672</v>
      </c>
    </row>
    <row r="168" spans="1:15" x14ac:dyDescent="0.35">
      <c r="A168" s="1">
        <v>45826</v>
      </c>
      <c r="B168" t="s">
        <v>202</v>
      </c>
      <c r="C168" t="s">
        <v>158</v>
      </c>
      <c r="D168" t="s">
        <v>36</v>
      </c>
      <c r="E168">
        <v>11</v>
      </c>
      <c r="F168" t="s">
        <v>203</v>
      </c>
      <c r="G168">
        <v>11</v>
      </c>
      <c r="H168">
        <v>2025</v>
      </c>
      <c r="I168">
        <v>6</v>
      </c>
      <c r="J168" t="s">
        <v>33</v>
      </c>
      <c r="K168" s="1">
        <v>45826</v>
      </c>
      <c r="L168" t="s">
        <v>58</v>
      </c>
      <c r="M168" t="s">
        <v>39</v>
      </c>
      <c r="N168" t="b">
        <v>0</v>
      </c>
      <c r="O168">
        <v>617</v>
      </c>
    </row>
    <row r="169" spans="1:15" x14ac:dyDescent="0.35">
      <c r="A169" s="1">
        <v>45795</v>
      </c>
      <c r="B169" s="2" t="s">
        <v>204</v>
      </c>
      <c r="C169" t="s">
        <v>158</v>
      </c>
      <c r="D169" t="s">
        <v>36</v>
      </c>
      <c r="E169">
        <v>11</v>
      </c>
      <c r="F169" t="s">
        <v>203</v>
      </c>
      <c r="G169">
        <v>11</v>
      </c>
      <c r="H169">
        <v>2025</v>
      </c>
      <c r="I169">
        <v>5</v>
      </c>
      <c r="J169" t="s">
        <v>75</v>
      </c>
      <c r="K169" s="1">
        <v>45795</v>
      </c>
      <c r="L169" t="s">
        <v>41</v>
      </c>
      <c r="M169" t="s">
        <v>39</v>
      </c>
      <c r="N169" t="b">
        <v>0</v>
      </c>
      <c r="O169">
        <v>618</v>
      </c>
    </row>
    <row r="170" spans="1:15" x14ac:dyDescent="0.35">
      <c r="A170" s="1">
        <v>45996</v>
      </c>
      <c r="B170" t="s">
        <v>205</v>
      </c>
      <c r="C170" t="s">
        <v>16</v>
      </c>
      <c r="D170" t="s">
        <v>36</v>
      </c>
      <c r="E170">
        <v>184.14</v>
      </c>
      <c r="F170" t="s">
        <v>156</v>
      </c>
      <c r="G170">
        <v>184.14</v>
      </c>
      <c r="H170">
        <v>2025</v>
      </c>
      <c r="I170">
        <v>12</v>
      </c>
      <c r="J170" t="s">
        <v>66</v>
      </c>
      <c r="K170" s="1">
        <v>45996</v>
      </c>
      <c r="L170" t="s">
        <v>31</v>
      </c>
      <c r="M170" t="s">
        <v>39</v>
      </c>
      <c r="N170" t="b">
        <v>1</v>
      </c>
      <c r="O170">
        <v>442</v>
      </c>
    </row>
    <row r="171" spans="1:15" x14ac:dyDescent="0.35">
      <c r="A171" s="1">
        <v>46085</v>
      </c>
      <c r="B171" t="s">
        <v>194</v>
      </c>
      <c r="C171" t="s">
        <v>16</v>
      </c>
      <c r="D171" t="s">
        <v>36</v>
      </c>
      <c r="E171">
        <v>15.32</v>
      </c>
      <c r="F171" t="s">
        <v>156</v>
      </c>
      <c r="G171">
        <v>15.32</v>
      </c>
      <c r="H171">
        <v>2026</v>
      </c>
      <c r="I171">
        <v>3</v>
      </c>
      <c r="J171" t="s">
        <v>48</v>
      </c>
      <c r="K171" s="1">
        <v>46085</v>
      </c>
      <c r="L171" t="s">
        <v>58</v>
      </c>
      <c r="M171" t="s">
        <v>39</v>
      </c>
      <c r="N171" t="b">
        <v>1</v>
      </c>
      <c r="O171">
        <v>407</v>
      </c>
    </row>
    <row r="172" spans="1:15" x14ac:dyDescent="0.35">
      <c r="A172" s="1">
        <v>46103</v>
      </c>
      <c r="B172" t="s">
        <v>206</v>
      </c>
      <c r="C172" t="s">
        <v>16</v>
      </c>
      <c r="D172" t="s">
        <v>36</v>
      </c>
      <c r="E172">
        <v>7.6</v>
      </c>
      <c r="F172" t="s">
        <v>207</v>
      </c>
      <c r="G172">
        <v>7.6</v>
      </c>
      <c r="H172">
        <v>2026</v>
      </c>
      <c r="I172">
        <v>3</v>
      </c>
      <c r="J172" t="s">
        <v>48</v>
      </c>
      <c r="K172" s="1">
        <v>46103</v>
      </c>
      <c r="L172" t="s">
        <v>41</v>
      </c>
      <c r="M172" t="s">
        <v>39</v>
      </c>
      <c r="N172" t="b">
        <v>1</v>
      </c>
      <c r="O172">
        <v>510</v>
      </c>
    </row>
    <row r="173" spans="1:15" x14ac:dyDescent="0.35">
      <c r="A173" s="1">
        <v>45842</v>
      </c>
      <c r="B173" t="s">
        <v>201</v>
      </c>
      <c r="C173" t="s">
        <v>16</v>
      </c>
      <c r="D173" t="s">
        <v>36</v>
      </c>
      <c r="E173">
        <v>108.48</v>
      </c>
      <c r="F173" t="s">
        <v>156</v>
      </c>
      <c r="G173">
        <v>108.48</v>
      </c>
      <c r="H173">
        <v>2025</v>
      </c>
      <c r="I173">
        <v>7</v>
      </c>
      <c r="J173" t="s">
        <v>73</v>
      </c>
      <c r="K173" s="1">
        <v>45842</v>
      </c>
      <c r="L173" t="s">
        <v>31</v>
      </c>
      <c r="M173" t="s">
        <v>39</v>
      </c>
      <c r="N173" t="b">
        <v>1</v>
      </c>
      <c r="O173">
        <v>488</v>
      </c>
    </row>
    <row r="174" spans="1:15" x14ac:dyDescent="0.35">
      <c r="A174" s="1">
        <v>46005</v>
      </c>
      <c r="B174" t="s">
        <v>196</v>
      </c>
      <c r="C174" t="s">
        <v>16</v>
      </c>
      <c r="D174" t="s">
        <v>36</v>
      </c>
      <c r="E174">
        <v>53.72</v>
      </c>
      <c r="F174" t="s">
        <v>156</v>
      </c>
      <c r="G174">
        <v>53.72</v>
      </c>
      <c r="H174">
        <v>2025</v>
      </c>
      <c r="I174">
        <v>12</v>
      </c>
      <c r="J174" t="s">
        <v>66</v>
      </c>
      <c r="K174" s="1">
        <v>46005</v>
      </c>
      <c r="L174" t="s">
        <v>41</v>
      </c>
      <c r="M174" t="s">
        <v>39</v>
      </c>
      <c r="N174" t="b">
        <v>1</v>
      </c>
      <c r="O174">
        <v>530</v>
      </c>
    </row>
    <row r="175" spans="1:15" x14ac:dyDescent="0.35">
      <c r="A175" s="1">
        <v>46069</v>
      </c>
      <c r="B175" s="2" t="s">
        <v>208</v>
      </c>
      <c r="C175" t="s">
        <v>16</v>
      </c>
      <c r="D175" t="s">
        <v>36</v>
      </c>
      <c r="E175">
        <v>1.97</v>
      </c>
      <c r="F175" t="s">
        <v>156</v>
      </c>
      <c r="G175">
        <v>1.97</v>
      </c>
      <c r="H175">
        <v>2026</v>
      </c>
      <c r="I175">
        <v>2</v>
      </c>
      <c r="J175" t="s">
        <v>19</v>
      </c>
      <c r="K175" s="1">
        <v>46069</v>
      </c>
      <c r="L175" t="s">
        <v>38</v>
      </c>
      <c r="M175" t="s">
        <v>39</v>
      </c>
      <c r="N175" t="b">
        <v>1</v>
      </c>
      <c r="O175">
        <v>807</v>
      </c>
    </row>
    <row r="176" spans="1:15" x14ac:dyDescent="0.35">
      <c r="A176" s="1">
        <v>46013</v>
      </c>
      <c r="B176" t="s">
        <v>209</v>
      </c>
      <c r="C176" t="s">
        <v>16</v>
      </c>
      <c r="D176" t="s">
        <v>36</v>
      </c>
      <c r="E176">
        <v>20.51</v>
      </c>
      <c r="F176" t="s">
        <v>156</v>
      </c>
      <c r="G176">
        <v>20.51</v>
      </c>
      <c r="H176">
        <v>2025</v>
      </c>
      <c r="I176">
        <v>12</v>
      </c>
      <c r="J176" t="s">
        <v>66</v>
      </c>
      <c r="K176" s="1">
        <v>46013</v>
      </c>
      <c r="L176" t="s">
        <v>38</v>
      </c>
      <c r="M176" t="s">
        <v>39</v>
      </c>
      <c r="N176" t="b">
        <v>1</v>
      </c>
      <c r="O176">
        <v>463</v>
      </c>
    </row>
    <row r="177" spans="1:15" x14ac:dyDescent="0.35">
      <c r="A177" s="1">
        <v>45824</v>
      </c>
      <c r="B177" t="s">
        <v>210</v>
      </c>
      <c r="C177" t="s">
        <v>16</v>
      </c>
      <c r="D177" t="s">
        <v>36</v>
      </c>
      <c r="E177">
        <v>121.11</v>
      </c>
      <c r="F177" t="s">
        <v>156</v>
      </c>
      <c r="G177">
        <v>121.11</v>
      </c>
      <c r="H177">
        <v>2025</v>
      </c>
      <c r="I177">
        <v>6</v>
      </c>
      <c r="J177" t="s">
        <v>33</v>
      </c>
      <c r="K177" s="1">
        <v>45824</v>
      </c>
      <c r="L177" t="s">
        <v>38</v>
      </c>
      <c r="M177" t="s">
        <v>39</v>
      </c>
      <c r="N177" t="b">
        <v>1</v>
      </c>
      <c r="O177">
        <v>596</v>
      </c>
    </row>
    <row r="178" spans="1:15" x14ac:dyDescent="0.35">
      <c r="A178" s="1">
        <v>46065</v>
      </c>
      <c r="B178" t="s">
        <v>155</v>
      </c>
      <c r="C178" t="s">
        <v>16</v>
      </c>
      <c r="D178" t="s">
        <v>36</v>
      </c>
      <c r="E178">
        <v>3.84</v>
      </c>
      <c r="F178" t="s">
        <v>156</v>
      </c>
      <c r="G178">
        <v>3.84</v>
      </c>
      <c r="H178">
        <v>2026</v>
      </c>
      <c r="I178">
        <v>2</v>
      </c>
      <c r="J178" t="s">
        <v>19</v>
      </c>
      <c r="K178" s="1">
        <v>46065</v>
      </c>
      <c r="L178" t="s">
        <v>23</v>
      </c>
      <c r="M178" t="s">
        <v>39</v>
      </c>
      <c r="N178" t="b">
        <v>1</v>
      </c>
      <c r="O178">
        <v>1021</v>
      </c>
    </row>
    <row r="179" spans="1:15" x14ac:dyDescent="0.35">
      <c r="A179" s="1">
        <v>45794</v>
      </c>
      <c r="B179" t="s">
        <v>180</v>
      </c>
      <c r="C179" t="s">
        <v>137</v>
      </c>
      <c r="D179" t="s">
        <v>36</v>
      </c>
      <c r="E179">
        <v>12.38</v>
      </c>
      <c r="F179" t="s">
        <v>181</v>
      </c>
      <c r="G179">
        <v>12.38</v>
      </c>
      <c r="H179">
        <v>2025</v>
      </c>
      <c r="I179">
        <v>5</v>
      </c>
      <c r="J179" t="s">
        <v>75</v>
      </c>
      <c r="K179" s="1">
        <v>45794</v>
      </c>
      <c r="L179" t="s">
        <v>20</v>
      </c>
      <c r="M179" t="s">
        <v>39</v>
      </c>
      <c r="N179" t="b">
        <v>1</v>
      </c>
      <c r="O179">
        <v>454</v>
      </c>
    </row>
    <row r="180" spans="1:15" x14ac:dyDescent="0.35">
      <c r="A180" s="1">
        <v>45849</v>
      </c>
      <c r="B180" t="s">
        <v>211</v>
      </c>
      <c r="C180" t="s">
        <v>137</v>
      </c>
      <c r="D180" t="s">
        <v>36</v>
      </c>
      <c r="E180">
        <v>24</v>
      </c>
      <c r="F180" t="s">
        <v>212</v>
      </c>
      <c r="G180">
        <v>24</v>
      </c>
      <c r="H180">
        <v>2025</v>
      </c>
      <c r="I180">
        <v>7</v>
      </c>
      <c r="J180" t="s">
        <v>73</v>
      </c>
      <c r="K180" s="1">
        <v>45849</v>
      </c>
      <c r="L180" t="s">
        <v>31</v>
      </c>
      <c r="M180" t="s">
        <v>39</v>
      </c>
      <c r="N180" t="b">
        <v>1</v>
      </c>
      <c r="O180">
        <v>255</v>
      </c>
    </row>
    <row r="181" spans="1:15" x14ac:dyDescent="0.35">
      <c r="A181" s="1">
        <v>45807</v>
      </c>
      <c r="B181" t="s">
        <v>213</v>
      </c>
      <c r="C181" t="s">
        <v>137</v>
      </c>
      <c r="D181" t="s">
        <v>36</v>
      </c>
      <c r="E181">
        <v>7</v>
      </c>
      <c r="F181" t="s">
        <v>214</v>
      </c>
      <c r="G181">
        <v>7</v>
      </c>
      <c r="H181">
        <v>2025</v>
      </c>
      <c r="I181">
        <v>5</v>
      </c>
      <c r="J181" t="s">
        <v>75</v>
      </c>
      <c r="K181" s="1">
        <v>45807</v>
      </c>
      <c r="L181" t="s">
        <v>31</v>
      </c>
      <c r="M181" t="s">
        <v>39</v>
      </c>
      <c r="N181" t="b">
        <v>1</v>
      </c>
      <c r="O181">
        <v>258</v>
      </c>
    </row>
    <row r="182" spans="1:15" x14ac:dyDescent="0.35">
      <c r="A182" s="1">
        <v>46008</v>
      </c>
      <c r="B182" t="s">
        <v>190</v>
      </c>
      <c r="C182" t="s">
        <v>137</v>
      </c>
      <c r="D182" t="s">
        <v>36</v>
      </c>
      <c r="E182">
        <v>18.73</v>
      </c>
      <c r="F182" t="s">
        <v>191</v>
      </c>
      <c r="G182">
        <v>18.73</v>
      </c>
      <c r="H182">
        <v>2025</v>
      </c>
      <c r="I182">
        <v>12</v>
      </c>
      <c r="J182" t="s">
        <v>66</v>
      </c>
      <c r="K182" s="1">
        <v>46008</v>
      </c>
      <c r="L182" t="s">
        <v>58</v>
      </c>
      <c r="M182" t="s">
        <v>39</v>
      </c>
      <c r="N182" t="b">
        <v>1</v>
      </c>
      <c r="O182">
        <v>467</v>
      </c>
    </row>
    <row r="183" spans="1:15" x14ac:dyDescent="0.35">
      <c r="A183" s="1">
        <v>45902</v>
      </c>
      <c r="B183" t="s">
        <v>201</v>
      </c>
      <c r="C183" t="s">
        <v>16</v>
      </c>
      <c r="D183" t="s">
        <v>36</v>
      </c>
      <c r="E183">
        <v>10.02</v>
      </c>
      <c r="F183" t="s">
        <v>156</v>
      </c>
      <c r="G183">
        <v>10.02</v>
      </c>
      <c r="H183">
        <v>2025</v>
      </c>
      <c r="I183">
        <v>9</v>
      </c>
      <c r="J183" t="s">
        <v>30</v>
      </c>
      <c r="K183" s="1">
        <v>45902</v>
      </c>
      <c r="L183" t="s">
        <v>50</v>
      </c>
      <c r="M183" t="s">
        <v>39</v>
      </c>
      <c r="N183" t="b">
        <v>1</v>
      </c>
      <c r="O183">
        <v>559</v>
      </c>
    </row>
    <row r="184" spans="1:15" x14ac:dyDescent="0.35">
      <c r="A184" s="1">
        <v>45851</v>
      </c>
      <c r="B184" t="s">
        <v>215</v>
      </c>
      <c r="C184" t="s">
        <v>16</v>
      </c>
      <c r="D184" t="s">
        <v>17</v>
      </c>
      <c r="E184">
        <v>-63.85</v>
      </c>
      <c r="F184" t="s">
        <v>156</v>
      </c>
      <c r="G184">
        <v>63.85</v>
      </c>
      <c r="H184">
        <v>2025</v>
      </c>
      <c r="I184">
        <v>7</v>
      </c>
      <c r="J184" t="s">
        <v>73</v>
      </c>
      <c r="K184" s="1">
        <v>45851</v>
      </c>
      <c r="L184" t="s">
        <v>41</v>
      </c>
      <c r="M184" t="s">
        <v>21</v>
      </c>
      <c r="N184" t="b">
        <v>1</v>
      </c>
      <c r="O184">
        <v>487</v>
      </c>
    </row>
    <row r="185" spans="1:15" x14ac:dyDescent="0.35">
      <c r="A185" s="1">
        <v>45832</v>
      </c>
      <c r="B185" t="s">
        <v>194</v>
      </c>
      <c r="C185" t="s">
        <v>16</v>
      </c>
      <c r="D185" t="s">
        <v>36</v>
      </c>
      <c r="E185">
        <v>6.46</v>
      </c>
      <c r="F185" t="s">
        <v>156</v>
      </c>
      <c r="G185">
        <v>6.46</v>
      </c>
      <c r="H185">
        <v>2025</v>
      </c>
      <c r="I185">
        <v>6</v>
      </c>
      <c r="J185" t="s">
        <v>33</v>
      </c>
      <c r="K185" s="1">
        <v>45832</v>
      </c>
      <c r="L185" t="s">
        <v>50</v>
      </c>
      <c r="M185" t="s">
        <v>39</v>
      </c>
      <c r="N185" t="b">
        <v>1</v>
      </c>
      <c r="O185">
        <v>567</v>
      </c>
    </row>
    <row r="186" spans="1:15" x14ac:dyDescent="0.35">
      <c r="A186" s="1">
        <v>46089</v>
      </c>
      <c r="B186" t="s">
        <v>210</v>
      </c>
      <c r="C186" t="s">
        <v>16</v>
      </c>
      <c r="D186" t="s">
        <v>36</v>
      </c>
      <c r="E186">
        <v>102.8</v>
      </c>
      <c r="F186" t="s">
        <v>156</v>
      </c>
      <c r="G186">
        <v>102.8</v>
      </c>
      <c r="H186">
        <v>2026</v>
      </c>
      <c r="I186">
        <v>3</v>
      </c>
      <c r="J186" t="s">
        <v>48</v>
      </c>
      <c r="K186" s="1">
        <v>46089</v>
      </c>
      <c r="L186" t="s">
        <v>41</v>
      </c>
      <c r="M186" t="s">
        <v>39</v>
      </c>
      <c r="N186" t="b">
        <v>1</v>
      </c>
      <c r="O186">
        <v>456</v>
      </c>
    </row>
    <row r="187" spans="1:15" x14ac:dyDescent="0.35">
      <c r="A187" s="1">
        <v>46063</v>
      </c>
      <c r="B187" t="s">
        <v>216</v>
      </c>
      <c r="C187" t="s">
        <v>137</v>
      </c>
      <c r="D187" t="s">
        <v>36</v>
      </c>
      <c r="E187">
        <v>15.2</v>
      </c>
      <c r="F187" t="s">
        <v>181</v>
      </c>
      <c r="G187">
        <v>15.2</v>
      </c>
      <c r="H187">
        <v>2026</v>
      </c>
      <c r="I187">
        <v>2</v>
      </c>
      <c r="J187" t="s">
        <v>19</v>
      </c>
      <c r="K187" s="1">
        <v>46063</v>
      </c>
      <c r="L187" t="s">
        <v>50</v>
      </c>
      <c r="M187" t="s">
        <v>39</v>
      </c>
      <c r="N187" t="b">
        <v>1</v>
      </c>
      <c r="O187">
        <v>540</v>
      </c>
    </row>
    <row r="188" spans="1:15" x14ac:dyDescent="0.35">
      <c r="A188" s="1">
        <v>46031</v>
      </c>
      <c r="B188" t="s">
        <v>217</v>
      </c>
      <c r="C188" t="s">
        <v>218</v>
      </c>
      <c r="D188" t="s">
        <v>36</v>
      </c>
      <c r="E188">
        <v>37.630000000000003</v>
      </c>
      <c r="F188" t="s">
        <v>219</v>
      </c>
      <c r="G188">
        <v>37.630000000000003</v>
      </c>
      <c r="H188">
        <v>2026</v>
      </c>
      <c r="I188">
        <v>1</v>
      </c>
      <c r="J188" t="s">
        <v>24</v>
      </c>
      <c r="K188" s="1">
        <v>46031</v>
      </c>
      <c r="L188" t="s">
        <v>31</v>
      </c>
      <c r="M188" t="s">
        <v>39</v>
      </c>
      <c r="N188" t="b">
        <v>1</v>
      </c>
      <c r="O188">
        <v>542</v>
      </c>
    </row>
    <row r="189" spans="1:15" x14ac:dyDescent="0.35">
      <c r="A189" s="1">
        <v>45781</v>
      </c>
      <c r="B189" t="s">
        <v>220</v>
      </c>
      <c r="C189" t="s">
        <v>137</v>
      </c>
      <c r="D189" t="s">
        <v>36</v>
      </c>
      <c r="E189">
        <v>7.38</v>
      </c>
      <c r="F189" t="s">
        <v>221</v>
      </c>
      <c r="G189">
        <v>7.38</v>
      </c>
      <c r="H189">
        <v>2025</v>
      </c>
      <c r="I189">
        <v>5</v>
      </c>
      <c r="J189" t="s">
        <v>75</v>
      </c>
      <c r="K189" s="1">
        <v>45781</v>
      </c>
      <c r="L189" t="s">
        <v>41</v>
      </c>
      <c r="M189" t="s">
        <v>39</v>
      </c>
      <c r="N189" t="b">
        <v>1</v>
      </c>
      <c r="O189">
        <v>1334</v>
      </c>
    </row>
    <row r="190" spans="1:15" x14ac:dyDescent="0.35">
      <c r="A190" s="1">
        <v>46042</v>
      </c>
      <c r="B190" t="s">
        <v>222</v>
      </c>
      <c r="C190" t="s">
        <v>218</v>
      </c>
      <c r="D190" t="s">
        <v>36</v>
      </c>
      <c r="E190">
        <v>7.99</v>
      </c>
      <c r="F190" t="s">
        <v>223</v>
      </c>
      <c r="G190">
        <v>7.99</v>
      </c>
      <c r="H190">
        <v>2026</v>
      </c>
      <c r="I190">
        <v>1</v>
      </c>
      <c r="J190" t="s">
        <v>24</v>
      </c>
      <c r="K190" s="1">
        <v>46042</v>
      </c>
      <c r="L190" t="s">
        <v>50</v>
      </c>
      <c r="M190" t="s">
        <v>39</v>
      </c>
      <c r="N190" t="b">
        <v>1</v>
      </c>
      <c r="O190">
        <v>599</v>
      </c>
    </row>
    <row r="191" spans="1:15" x14ac:dyDescent="0.35">
      <c r="A191" s="1">
        <v>46011</v>
      </c>
      <c r="B191" t="s">
        <v>222</v>
      </c>
      <c r="C191" t="s">
        <v>218</v>
      </c>
      <c r="D191" t="s">
        <v>36</v>
      </c>
      <c r="E191">
        <v>7.99</v>
      </c>
      <c r="F191" t="s">
        <v>223</v>
      </c>
      <c r="G191">
        <v>7.99</v>
      </c>
      <c r="H191">
        <v>2025</v>
      </c>
      <c r="I191">
        <v>12</v>
      </c>
      <c r="J191" t="s">
        <v>66</v>
      </c>
      <c r="K191" s="1">
        <v>46011</v>
      </c>
      <c r="L191" t="s">
        <v>20</v>
      </c>
      <c r="M191" t="s">
        <v>39</v>
      </c>
      <c r="N191" t="b">
        <v>1</v>
      </c>
      <c r="O191">
        <v>600</v>
      </c>
    </row>
    <row r="192" spans="1:15" x14ac:dyDescent="0.35">
      <c r="A192" s="1">
        <v>46062</v>
      </c>
      <c r="B192" t="s">
        <v>216</v>
      </c>
      <c r="C192" t="s">
        <v>137</v>
      </c>
      <c r="D192" t="s">
        <v>36</v>
      </c>
      <c r="E192">
        <v>5.82</v>
      </c>
      <c r="F192" t="s">
        <v>181</v>
      </c>
      <c r="G192">
        <v>5.82</v>
      </c>
      <c r="H192">
        <v>2026</v>
      </c>
      <c r="I192">
        <v>2</v>
      </c>
      <c r="J192" t="s">
        <v>19</v>
      </c>
      <c r="K192" s="1">
        <v>46062</v>
      </c>
      <c r="L192" t="s">
        <v>38</v>
      </c>
      <c r="M192" t="s">
        <v>39</v>
      </c>
      <c r="N192" t="b">
        <v>1</v>
      </c>
      <c r="O192">
        <v>581</v>
      </c>
    </row>
    <row r="193" spans="1:15" x14ac:dyDescent="0.35">
      <c r="A193" s="1">
        <v>45925</v>
      </c>
      <c r="B193" t="s">
        <v>224</v>
      </c>
      <c r="C193" t="s">
        <v>137</v>
      </c>
      <c r="D193" t="s">
        <v>36</v>
      </c>
      <c r="E193">
        <v>14.4</v>
      </c>
      <c r="F193" t="s">
        <v>181</v>
      </c>
      <c r="G193">
        <v>14.4</v>
      </c>
      <c r="H193">
        <v>2025</v>
      </c>
      <c r="I193">
        <v>9</v>
      </c>
      <c r="J193" t="s">
        <v>30</v>
      </c>
      <c r="K193" s="1">
        <v>45925</v>
      </c>
      <c r="L193" t="s">
        <v>23</v>
      </c>
      <c r="M193" t="s">
        <v>39</v>
      </c>
      <c r="N193" t="b">
        <v>1</v>
      </c>
      <c r="O193">
        <v>582</v>
      </c>
    </row>
    <row r="194" spans="1:15" x14ac:dyDescent="0.35">
      <c r="A194" s="1">
        <v>46010</v>
      </c>
      <c r="B194" t="s">
        <v>225</v>
      </c>
      <c r="C194" t="s">
        <v>218</v>
      </c>
      <c r="D194" t="s">
        <v>36</v>
      </c>
      <c r="E194">
        <v>34</v>
      </c>
      <c r="F194" t="s">
        <v>226</v>
      </c>
      <c r="G194">
        <v>34</v>
      </c>
      <c r="H194">
        <v>2025</v>
      </c>
      <c r="I194">
        <v>12</v>
      </c>
      <c r="J194" t="s">
        <v>66</v>
      </c>
      <c r="K194" s="1">
        <v>46010</v>
      </c>
      <c r="L194" t="s">
        <v>31</v>
      </c>
      <c r="M194" t="s">
        <v>39</v>
      </c>
      <c r="N194" t="b">
        <v>1</v>
      </c>
      <c r="O194">
        <v>601</v>
      </c>
    </row>
    <row r="195" spans="1:15" x14ac:dyDescent="0.35">
      <c r="A195" s="1">
        <v>46111</v>
      </c>
      <c r="B195" t="s">
        <v>227</v>
      </c>
      <c r="C195" t="s">
        <v>137</v>
      </c>
      <c r="D195" t="s">
        <v>36</v>
      </c>
      <c r="E195">
        <v>11.43</v>
      </c>
      <c r="F195" t="s">
        <v>228</v>
      </c>
      <c r="G195">
        <v>11.43</v>
      </c>
      <c r="H195">
        <v>2026</v>
      </c>
      <c r="I195">
        <v>3</v>
      </c>
      <c r="J195" t="s">
        <v>48</v>
      </c>
      <c r="K195" s="1">
        <v>46111</v>
      </c>
      <c r="L195" t="s">
        <v>38</v>
      </c>
      <c r="M195" t="s">
        <v>39</v>
      </c>
      <c r="N195" t="b">
        <v>1</v>
      </c>
      <c r="O195">
        <v>607</v>
      </c>
    </row>
    <row r="196" spans="1:15" x14ac:dyDescent="0.35">
      <c r="A196" s="1">
        <v>45969</v>
      </c>
      <c r="B196" t="s">
        <v>155</v>
      </c>
      <c r="C196" t="s">
        <v>16</v>
      </c>
      <c r="D196" t="s">
        <v>36</v>
      </c>
      <c r="E196">
        <v>84.34</v>
      </c>
      <c r="F196" t="s">
        <v>156</v>
      </c>
      <c r="G196">
        <v>84.34</v>
      </c>
      <c r="H196">
        <v>2025</v>
      </c>
      <c r="I196">
        <v>11</v>
      </c>
      <c r="J196" t="s">
        <v>68</v>
      </c>
      <c r="K196" s="1">
        <v>45969</v>
      </c>
      <c r="L196" t="s">
        <v>20</v>
      </c>
      <c r="M196" t="s">
        <v>39</v>
      </c>
      <c r="N196" t="b">
        <v>1</v>
      </c>
      <c r="O196">
        <v>493</v>
      </c>
    </row>
    <row r="197" spans="1:15" x14ac:dyDescent="0.35">
      <c r="A197" s="1">
        <v>45921</v>
      </c>
      <c r="B197" t="s">
        <v>196</v>
      </c>
      <c r="C197" t="s">
        <v>16</v>
      </c>
      <c r="D197" t="s">
        <v>36</v>
      </c>
      <c r="E197">
        <v>61.5</v>
      </c>
      <c r="F197" t="s">
        <v>156</v>
      </c>
      <c r="G197">
        <v>61.5</v>
      </c>
      <c r="H197">
        <v>2025</v>
      </c>
      <c r="I197">
        <v>9</v>
      </c>
      <c r="J197" t="s">
        <v>30</v>
      </c>
      <c r="K197" s="1">
        <v>45921</v>
      </c>
      <c r="L197" t="s">
        <v>41</v>
      </c>
      <c r="M197" t="s">
        <v>39</v>
      </c>
      <c r="N197" t="b">
        <v>1</v>
      </c>
      <c r="O197">
        <v>590</v>
      </c>
    </row>
    <row r="198" spans="1:15" x14ac:dyDescent="0.35">
      <c r="A198" s="1">
        <v>46014</v>
      </c>
      <c r="B198" t="s">
        <v>194</v>
      </c>
      <c r="C198" t="s">
        <v>16</v>
      </c>
      <c r="D198" t="s">
        <v>36</v>
      </c>
      <c r="E198">
        <v>127.87</v>
      </c>
      <c r="F198" t="s">
        <v>156</v>
      </c>
      <c r="G198">
        <v>127.87</v>
      </c>
      <c r="H198">
        <v>2025</v>
      </c>
      <c r="I198">
        <v>12</v>
      </c>
      <c r="J198" t="s">
        <v>66</v>
      </c>
      <c r="K198" s="1">
        <v>46014</v>
      </c>
      <c r="L198" t="s">
        <v>50</v>
      </c>
      <c r="M198" t="s">
        <v>39</v>
      </c>
      <c r="N198" t="b">
        <v>1</v>
      </c>
      <c r="O198">
        <v>548</v>
      </c>
    </row>
    <row r="199" spans="1:15" x14ac:dyDescent="0.35">
      <c r="A199" s="1">
        <v>46112</v>
      </c>
      <c r="B199" t="s">
        <v>229</v>
      </c>
      <c r="C199" t="s">
        <v>16</v>
      </c>
      <c r="D199" t="s">
        <v>36</v>
      </c>
      <c r="E199">
        <v>92.67</v>
      </c>
      <c r="F199" t="s">
        <v>156</v>
      </c>
      <c r="G199">
        <v>92.67</v>
      </c>
      <c r="H199">
        <v>2026</v>
      </c>
      <c r="I199">
        <v>3</v>
      </c>
      <c r="J199" t="s">
        <v>48</v>
      </c>
      <c r="K199" s="1">
        <v>46112</v>
      </c>
      <c r="L199" t="s">
        <v>50</v>
      </c>
      <c r="M199" t="s">
        <v>39</v>
      </c>
      <c r="N199" t="b">
        <v>1</v>
      </c>
      <c r="O199">
        <v>543</v>
      </c>
    </row>
    <row r="200" spans="1:15" x14ac:dyDescent="0.35">
      <c r="A200" s="1">
        <v>45923</v>
      </c>
      <c r="B200" t="s">
        <v>196</v>
      </c>
      <c r="C200" t="s">
        <v>16</v>
      </c>
      <c r="D200" t="s">
        <v>36</v>
      </c>
      <c r="E200">
        <v>7.95</v>
      </c>
      <c r="F200" t="s">
        <v>156</v>
      </c>
      <c r="G200">
        <v>7.95</v>
      </c>
      <c r="H200">
        <v>2025</v>
      </c>
      <c r="I200">
        <v>9</v>
      </c>
      <c r="J200" t="s">
        <v>30</v>
      </c>
      <c r="K200" s="1">
        <v>45923</v>
      </c>
      <c r="L200" t="s">
        <v>50</v>
      </c>
      <c r="M200" t="s">
        <v>39</v>
      </c>
      <c r="N200" t="b">
        <v>1</v>
      </c>
      <c r="O200">
        <v>589</v>
      </c>
    </row>
    <row r="201" spans="1:15" x14ac:dyDescent="0.35">
      <c r="A201" s="1">
        <v>46077</v>
      </c>
      <c r="B201" t="s">
        <v>197</v>
      </c>
      <c r="C201" t="s">
        <v>16</v>
      </c>
      <c r="D201" t="s">
        <v>36</v>
      </c>
      <c r="E201">
        <v>63.41</v>
      </c>
      <c r="F201" t="s">
        <v>156</v>
      </c>
      <c r="G201">
        <v>63.41</v>
      </c>
      <c r="H201">
        <v>2026</v>
      </c>
      <c r="I201">
        <v>2</v>
      </c>
      <c r="J201" t="s">
        <v>19</v>
      </c>
      <c r="K201" s="1">
        <v>46077</v>
      </c>
      <c r="L201" t="s">
        <v>50</v>
      </c>
      <c r="M201" t="s">
        <v>39</v>
      </c>
      <c r="N201" t="b">
        <v>1</v>
      </c>
      <c r="O201">
        <v>457</v>
      </c>
    </row>
    <row r="202" spans="1:15" x14ac:dyDescent="0.35">
      <c r="A202" s="1">
        <v>45850</v>
      </c>
      <c r="B202" t="s">
        <v>197</v>
      </c>
      <c r="C202" t="s">
        <v>16</v>
      </c>
      <c r="D202" t="s">
        <v>36</v>
      </c>
      <c r="E202">
        <v>34.43</v>
      </c>
      <c r="F202" t="s">
        <v>156</v>
      </c>
      <c r="G202">
        <v>34.43</v>
      </c>
      <c r="H202">
        <v>2025</v>
      </c>
      <c r="I202">
        <v>7</v>
      </c>
      <c r="J202" t="s">
        <v>73</v>
      </c>
      <c r="K202" s="1">
        <v>45850</v>
      </c>
      <c r="L202" t="s">
        <v>20</v>
      </c>
      <c r="M202" t="s">
        <v>39</v>
      </c>
      <c r="N202" t="b">
        <v>1</v>
      </c>
      <c r="O202">
        <v>535</v>
      </c>
    </row>
    <row r="203" spans="1:15" x14ac:dyDescent="0.35">
      <c r="A203" s="1">
        <v>45851</v>
      </c>
      <c r="B203" t="s">
        <v>197</v>
      </c>
      <c r="C203" t="s">
        <v>16</v>
      </c>
      <c r="D203" t="s">
        <v>36</v>
      </c>
      <c r="E203">
        <v>78.739999999999995</v>
      </c>
      <c r="F203" t="s">
        <v>156</v>
      </c>
      <c r="G203">
        <v>78.739999999999995</v>
      </c>
      <c r="H203">
        <v>2025</v>
      </c>
      <c r="I203">
        <v>7</v>
      </c>
      <c r="J203" t="s">
        <v>73</v>
      </c>
      <c r="K203" s="1">
        <v>45851</v>
      </c>
      <c r="L203" t="s">
        <v>41</v>
      </c>
      <c r="M203" t="s">
        <v>39</v>
      </c>
      <c r="N203" t="b">
        <v>1</v>
      </c>
      <c r="O203">
        <v>534</v>
      </c>
    </row>
    <row r="204" spans="1:15" x14ac:dyDescent="0.35">
      <c r="A204" s="1">
        <v>46071</v>
      </c>
      <c r="B204" t="s">
        <v>155</v>
      </c>
      <c r="C204" t="s">
        <v>16</v>
      </c>
      <c r="D204" t="s">
        <v>36</v>
      </c>
      <c r="E204">
        <v>199.72</v>
      </c>
      <c r="F204" t="s">
        <v>156</v>
      </c>
      <c r="G204">
        <v>199.72</v>
      </c>
      <c r="H204">
        <v>2026</v>
      </c>
      <c r="I204">
        <v>2</v>
      </c>
      <c r="J204" t="s">
        <v>19</v>
      </c>
      <c r="K204" s="1">
        <v>46071</v>
      </c>
      <c r="L204" t="s">
        <v>58</v>
      </c>
      <c r="M204" t="s">
        <v>39</v>
      </c>
      <c r="N204" t="b">
        <v>1</v>
      </c>
      <c r="O204">
        <v>411</v>
      </c>
    </row>
    <row r="205" spans="1:15" x14ac:dyDescent="0.35">
      <c r="A205" s="1">
        <v>45951</v>
      </c>
      <c r="B205" t="s">
        <v>230</v>
      </c>
      <c r="C205" t="s">
        <v>16</v>
      </c>
      <c r="D205" t="s">
        <v>36</v>
      </c>
      <c r="E205">
        <v>36.51</v>
      </c>
      <c r="F205" t="s">
        <v>156</v>
      </c>
      <c r="G205">
        <v>36.51</v>
      </c>
      <c r="H205">
        <v>2025</v>
      </c>
      <c r="I205">
        <v>10</v>
      </c>
      <c r="J205" t="s">
        <v>57</v>
      </c>
      <c r="K205" s="1">
        <v>45951</v>
      </c>
      <c r="L205" t="s">
        <v>50</v>
      </c>
      <c r="M205" t="s">
        <v>39</v>
      </c>
      <c r="N205" t="b">
        <v>1</v>
      </c>
      <c r="O205">
        <v>661</v>
      </c>
    </row>
    <row r="206" spans="1:15" x14ac:dyDescent="0.35">
      <c r="A206" s="1">
        <v>45831</v>
      </c>
      <c r="B206" s="2" t="s">
        <v>231</v>
      </c>
      <c r="C206" t="s">
        <v>16</v>
      </c>
      <c r="D206" t="s">
        <v>17</v>
      </c>
      <c r="E206">
        <v>-32.450000000000003</v>
      </c>
      <c r="F206" t="s">
        <v>232</v>
      </c>
      <c r="G206">
        <v>32.450000000000003</v>
      </c>
      <c r="H206">
        <v>2025</v>
      </c>
      <c r="I206">
        <v>6</v>
      </c>
      <c r="J206" t="s">
        <v>33</v>
      </c>
      <c r="K206" s="1">
        <v>45831</v>
      </c>
      <c r="L206" t="s">
        <v>38</v>
      </c>
      <c r="M206" t="s">
        <v>21</v>
      </c>
      <c r="N206" t="b">
        <v>1</v>
      </c>
      <c r="O206">
        <v>690</v>
      </c>
    </row>
    <row r="207" spans="1:15" x14ac:dyDescent="0.35">
      <c r="A207" s="1">
        <v>45968</v>
      </c>
      <c r="B207" t="s">
        <v>194</v>
      </c>
      <c r="C207" t="s">
        <v>16</v>
      </c>
      <c r="D207" t="s">
        <v>36</v>
      </c>
      <c r="E207">
        <v>140.65</v>
      </c>
      <c r="F207" t="s">
        <v>156</v>
      </c>
      <c r="G207">
        <v>140.65</v>
      </c>
      <c r="H207">
        <v>2025</v>
      </c>
      <c r="I207">
        <v>11</v>
      </c>
      <c r="J207" t="s">
        <v>68</v>
      </c>
      <c r="K207" s="1">
        <v>45968</v>
      </c>
      <c r="L207" t="s">
        <v>31</v>
      </c>
      <c r="M207" t="s">
        <v>39</v>
      </c>
      <c r="N207" t="b">
        <v>1</v>
      </c>
      <c r="O207">
        <v>1302</v>
      </c>
    </row>
    <row r="208" spans="1:15" x14ac:dyDescent="0.35">
      <c r="A208" s="1">
        <v>46106</v>
      </c>
      <c r="B208" t="s">
        <v>229</v>
      </c>
      <c r="C208" t="s">
        <v>16</v>
      </c>
      <c r="D208" t="s">
        <v>36</v>
      </c>
      <c r="E208">
        <v>115.62</v>
      </c>
      <c r="F208" t="s">
        <v>156</v>
      </c>
      <c r="G208">
        <v>115.62</v>
      </c>
      <c r="H208">
        <v>2026</v>
      </c>
      <c r="I208">
        <v>3</v>
      </c>
      <c r="J208" t="s">
        <v>48</v>
      </c>
      <c r="K208" s="1">
        <v>46106</v>
      </c>
      <c r="L208" t="s">
        <v>58</v>
      </c>
      <c r="M208" t="s">
        <v>39</v>
      </c>
      <c r="N208" t="b">
        <v>1</v>
      </c>
      <c r="O208">
        <v>598</v>
      </c>
    </row>
    <row r="209" spans="1:15" x14ac:dyDescent="0.35">
      <c r="A209" s="1">
        <v>46112</v>
      </c>
      <c r="B209" t="s">
        <v>233</v>
      </c>
      <c r="C209" t="s">
        <v>137</v>
      </c>
      <c r="D209" t="s">
        <v>36</v>
      </c>
      <c r="E209">
        <v>7.21</v>
      </c>
      <c r="F209" t="s">
        <v>138</v>
      </c>
      <c r="G209">
        <v>7.21</v>
      </c>
      <c r="H209">
        <v>2026</v>
      </c>
      <c r="I209">
        <v>3</v>
      </c>
      <c r="J209" t="s">
        <v>48</v>
      </c>
      <c r="K209" s="1">
        <v>46112</v>
      </c>
      <c r="L209" t="s">
        <v>50</v>
      </c>
      <c r="M209" t="s">
        <v>39</v>
      </c>
      <c r="N209" t="b">
        <v>1</v>
      </c>
      <c r="O209">
        <v>656</v>
      </c>
    </row>
    <row r="210" spans="1:15" x14ac:dyDescent="0.35">
      <c r="A210" s="1">
        <v>45948</v>
      </c>
      <c r="B210" t="s">
        <v>234</v>
      </c>
      <c r="C210" t="s">
        <v>137</v>
      </c>
      <c r="D210" t="s">
        <v>36</v>
      </c>
      <c r="E210">
        <v>15.13</v>
      </c>
      <c r="F210" t="s">
        <v>235</v>
      </c>
      <c r="G210">
        <v>15.13</v>
      </c>
      <c r="H210">
        <v>2025</v>
      </c>
      <c r="I210">
        <v>10</v>
      </c>
      <c r="J210" t="s">
        <v>57</v>
      </c>
      <c r="K210" s="1">
        <v>45948</v>
      </c>
      <c r="L210" t="s">
        <v>20</v>
      </c>
      <c r="M210" t="s">
        <v>39</v>
      </c>
      <c r="N210" t="b">
        <v>1</v>
      </c>
      <c r="O210">
        <v>657</v>
      </c>
    </row>
    <row r="211" spans="1:15" x14ac:dyDescent="0.35">
      <c r="A211" s="1">
        <v>45931</v>
      </c>
      <c r="B211" t="s">
        <v>236</v>
      </c>
      <c r="C211" t="s">
        <v>137</v>
      </c>
      <c r="D211" t="s">
        <v>36</v>
      </c>
      <c r="E211">
        <v>20.47</v>
      </c>
      <c r="F211" t="s">
        <v>237</v>
      </c>
      <c r="G211">
        <v>20.47</v>
      </c>
      <c r="H211">
        <v>2025</v>
      </c>
      <c r="I211">
        <v>10</v>
      </c>
      <c r="J211" t="s">
        <v>57</v>
      </c>
      <c r="K211" s="1">
        <v>45931</v>
      </c>
      <c r="L211" t="s">
        <v>58</v>
      </c>
      <c r="M211" t="s">
        <v>39</v>
      </c>
      <c r="N211" t="b">
        <v>1</v>
      </c>
      <c r="O211">
        <v>659</v>
      </c>
    </row>
    <row r="212" spans="1:15" x14ac:dyDescent="0.35">
      <c r="A212" s="1">
        <v>45864</v>
      </c>
      <c r="B212" t="s">
        <v>196</v>
      </c>
      <c r="C212" t="s">
        <v>16</v>
      </c>
      <c r="D212" t="s">
        <v>17</v>
      </c>
      <c r="E212">
        <v>-14.81</v>
      </c>
      <c r="F212" t="s">
        <v>156</v>
      </c>
      <c r="G212">
        <v>14.81</v>
      </c>
      <c r="H212">
        <v>2025</v>
      </c>
      <c r="I212">
        <v>7</v>
      </c>
      <c r="J212" t="s">
        <v>73</v>
      </c>
      <c r="K212" s="1">
        <v>45864</v>
      </c>
      <c r="L212" t="s">
        <v>20</v>
      </c>
      <c r="M212" t="s">
        <v>21</v>
      </c>
      <c r="N212" t="b">
        <v>1</v>
      </c>
      <c r="O212">
        <v>531</v>
      </c>
    </row>
    <row r="213" spans="1:15" x14ac:dyDescent="0.35">
      <c r="A213" s="1">
        <v>45822</v>
      </c>
      <c r="B213" t="s">
        <v>238</v>
      </c>
      <c r="C213" t="s">
        <v>16</v>
      </c>
      <c r="D213" t="s">
        <v>36</v>
      </c>
      <c r="E213">
        <v>70.25</v>
      </c>
      <c r="F213" t="s">
        <v>239</v>
      </c>
      <c r="G213">
        <v>70.25</v>
      </c>
      <c r="H213">
        <v>2025</v>
      </c>
      <c r="I213">
        <v>6</v>
      </c>
      <c r="J213" t="s">
        <v>33</v>
      </c>
      <c r="K213" s="1">
        <v>45822</v>
      </c>
      <c r="L213" t="s">
        <v>20</v>
      </c>
      <c r="M213" t="s">
        <v>39</v>
      </c>
      <c r="N213" t="b">
        <v>1</v>
      </c>
      <c r="O213">
        <v>1279</v>
      </c>
    </row>
    <row r="214" spans="1:15" x14ac:dyDescent="0.35">
      <c r="A214" s="1">
        <v>45837</v>
      </c>
      <c r="B214" t="s">
        <v>210</v>
      </c>
      <c r="C214" t="s">
        <v>16</v>
      </c>
      <c r="D214" t="s">
        <v>36</v>
      </c>
      <c r="E214">
        <v>59.62</v>
      </c>
      <c r="F214" t="s">
        <v>156</v>
      </c>
      <c r="G214">
        <v>59.62</v>
      </c>
      <c r="H214">
        <v>2025</v>
      </c>
      <c r="I214">
        <v>6</v>
      </c>
      <c r="J214" t="s">
        <v>33</v>
      </c>
      <c r="K214" s="1">
        <v>45837</v>
      </c>
      <c r="L214" t="s">
        <v>41</v>
      </c>
      <c r="M214" t="s">
        <v>39</v>
      </c>
      <c r="N214" t="b">
        <v>1</v>
      </c>
      <c r="O214">
        <v>595</v>
      </c>
    </row>
    <row r="215" spans="1:15" x14ac:dyDescent="0.35">
      <c r="A215" s="1">
        <v>45804</v>
      </c>
      <c r="B215" t="s">
        <v>194</v>
      </c>
      <c r="C215" t="s">
        <v>16</v>
      </c>
      <c r="D215" t="s">
        <v>36</v>
      </c>
      <c r="E215">
        <v>232.94</v>
      </c>
      <c r="F215" t="s">
        <v>156</v>
      </c>
      <c r="G215">
        <v>232.94</v>
      </c>
      <c r="H215">
        <v>2025</v>
      </c>
      <c r="I215">
        <v>5</v>
      </c>
      <c r="J215" t="s">
        <v>75</v>
      </c>
      <c r="K215" s="1">
        <v>45804</v>
      </c>
      <c r="L215" t="s">
        <v>50</v>
      </c>
      <c r="M215" t="s">
        <v>39</v>
      </c>
      <c r="N215" t="b">
        <v>1</v>
      </c>
      <c r="O215">
        <v>571</v>
      </c>
    </row>
    <row r="216" spans="1:15" x14ac:dyDescent="0.35">
      <c r="A216" s="1">
        <v>46063</v>
      </c>
      <c r="B216" t="s">
        <v>240</v>
      </c>
      <c r="C216" t="s">
        <v>35</v>
      </c>
      <c r="D216" t="s">
        <v>36</v>
      </c>
      <c r="E216">
        <v>111.24</v>
      </c>
      <c r="F216" t="s">
        <v>241</v>
      </c>
      <c r="G216">
        <v>111.24</v>
      </c>
      <c r="H216">
        <v>2026</v>
      </c>
      <c r="I216">
        <v>2</v>
      </c>
      <c r="J216" t="s">
        <v>19</v>
      </c>
      <c r="K216" s="1">
        <v>46063</v>
      </c>
      <c r="L216" t="s">
        <v>50</v>
      </c>
      <c r="M216" t="s">
        <v>39</v>
      </c>
      <c r="N216" t="b">
        <v>1</v>
      </c>
      <c r="O216">
        <v>992</v>
      </c>
    </row>
    <row r="217" spans="1:15" x14ac:dyDescent="0.35">
      <c r="A217" s="1">
        <v>45894</v>
      </c>
      <c r="B217" t="s">
        <v>242</v>
      </c>
      <c r="C217" t="s">
        <v>218</v>
      </c>
      <c r="D217" t="s">
        <v>36</v>
      </c>
      <c r="E217">
        <v>17.5</v>
      </c>
      <c r="F217" t="s">
        <v>243</v>
      </c>
      <c r="G217">
        <v>17.5</v>
      </c>
      <c r="H217">
        <v>2025</v>
      </c>
      <c r="I217">
        <v>8</v>
      </c>
      <c r="J217" t="s">
        <v>71</v>
      </c>
      <c r="K217" s="1">
        <v>45894</v>
      </c>
      <c r="L217" t="s">
        <v>38</v>
      </c>
      <c r="M217" t="s">
        <v>39</v>
      </c>
      <c r="N217" t="b">
        <v>1</v>
      </c>
      <c r="O217">
        <v>752</v>
      </c>
    </row>
    <row r="218" spans="1:15" x14ac:dyDescent="0.35">
      <c r="A218" s="1">
        <v>46010</v>
      </c>
      <c r="B218" t="s">
        <v>217</v>
      </c>
      <c r="C218" t="s">
        <v>218</v>
      </c>
      <c r="D218" t="s">
        <v>36</v>
      </c>
      <c r="E218">
        <v>38.979999999999997</v>
      </c>
      <c r="F218" t="s">
        <v>219</v>
      </c>
      <c r="G218">
        <v>38.979999999999997</v>
      </c>
      <c r="H218">
        <v>2025</v>
      </c>
      <c r="I218">
        <v>12</v>
      </c>
      <c r="J218" t="s">
        <v>66</v>
      </c>
      <c r="K218" s="1">
        <v>46010</v>
      </c>
      <c r="L218" t="s">
        <v>31</v>
      </c>
      <c r="M218" t="s">
        <v>39</v>
      </c>
      <c r="N218" t="b">
        <v>1</v>
      </c>
      <c r="O218">
        <v>755</v>
      </c>
    </row>
    <row r="219" spans="1:15" x14ac:dyDescent="0.35">
      <c r="A219" s="1">
        <v>45830</v>
      </c>
      <c r="B219" t="s">
        <v>244</v>
      </c>
      <c r="C219" t="s">
        <v>137</v>
      </c>
      <c r="D219" t="s">
        <v>36</v>
      </c>
      <c r="E219">
        <v>8.2799999999999994</v>
      </c>
      <c r="F219" t="s">
        <v>245</v>
      </c>
      <c r="G219">
        <v>8.2799999999999994</v>
      </c>
      <c r="H219">
        <v>2025</v>
      </c>
      <c r="I219">
        <v>6</v>
      </c>
      <c r="J219" t="s">
        <v>33</v>
      </c>
      <c r="K219" s="1">
        <v>45830</v>
      </c>
      <c r="L219" t="s">
        <v>41</v>
      </c>
      <c r="M219" t="s">
        <v>39</v>
      </c>
      <c r="N219" t="b">
        <v>1</v>
      </c>
      <c r="O219">
        <v>1276</v>
      </c>
    </row>
    <row r="220" spans="1:15" x14ac:dyDescent="0.35">
      <c r="A220" s="1">
        <v>45800</v>
      </c>
      <c r="B220" t="s">
        <v>246</v>
      </c>
      <c r="C220" t="s">
        <v>218</v>
      </c>
      <c r="D220" t="s">
        <v>36</v>
      </c>
      <c r="E220">
        <v>18</v>
      </c>
      <c r="F220" t="s">
        <v>247</v>
      </c>
      <c r="G220">
        <v>18</v>
      </c>
      <c r="H220">
        <v>2025</v>
      </c>
      <c r="I220">
        <v>5</v>
      </c>
      <c r="J220" t="s">
        <v>75</v>
      </c>
      <c r="K220" s="1">
        <v>45800</v>
      </c>
      <c r="L220" t="s">
        <v>31</v>
      </c>
      <c r="M220" t="s">
        <v>39</v>
      </c>
      <c r="N220" t="b">
        <v>1</v>
      </c>
      <c r="O220">
        <v>1314</v>
      </c>
    </row>
    <row r="221" spans="1:15" x14ac:dyDescent="0.35">
      <c r="A221" s="1">
        <v>45800</v>
      </c>
      <c r="B221" t="s">
        <v>246</v>
      </c>
      <c r="C221" t="s">
        <v>218</v>
      </c>
      <c r="D221" t="s">
        <v>36</v>
      </c>
      <c r="E221">
        <v>6</v>
      </c>
      <c r="F221" t="s">
        <v>247</v>
      </c>
      <c r="G221">
        <v>6</v>
      </c>
      <c r="H221">
        <v>2025</v>
      </c>
      <c r="I221">
        <v>5</v>
      </c>
      <c r="J221" t="s">
        <v>75</v>
      </c>
      <c r="K221" s="1">
        <v>45800</v>
      </c>
      <c r="L221" t="s">
        <v>31</v>
      </c>
      <c r="M221" t="s">
        <v>39</v>
      </c>
      <c r="N221" t="b">
        <v>1</v>
      </c>
      <c r="O221">
        <v>464</v>
      </c>
    </row>
    <row r="222" spans="1:15" x14ac:dyDescent="0.35">
      <c r="A222" s="1">
        <v>45800</v>
      </c>
      <c r="B222" t="s">
        <v>246</v>
      </c>
      <c r="C222" t="s">
        <v>218</v>
      </c>
      <c r="D222" t="s">
        <v>36</v>
      </c>
      <c r="E222">
        <v>5</v>
      </c>
      <c r="F222" t="s">
        <v>247</v>
      </c>
      <c r="G222">
        <v>5</v>
      </c>
      <c r="H222">
        <v>2025</v>
      </c>
      <c r="I222">
        <v>5</v>
      </c>
      <c r="J222" t="s">
        <v>75</v>
      </c>
      <c r="K222" s="1">
        <v>45800</v>
      </c>
      <c r="L222" t="s">
        <v>31</v>
      </c>
      <c r="M222" t="s">
        <v>39</v>
      </c>
      <c r="N222" t="b">
        <v>1</v>
      </c>
      <c r="O222">
        <v>465</v>
      </c>
    </row>
    <row r="223" spans="1:15" x14ac:dyDescent="0.35">
      <c r="A223" s="1">
        <v>45872</v>
      </c>
      <c r="B223" t="s">
        <v>248</v>
      </c>
      <c r="C223" t="s">
        <v>137</v>
      </c>
      <c r="D223" t="s">
        <v>36</v>
      </c>
      <c r="E223">
        <v>32.85</v>
      </c>
      <c r="F223" t="s">
        <v>249</v>
      </c>
      <c r="G223">
        <v>32.85</v>
      </c>
      <c r="H223">
        <v>2025</v>
      </c>
      <c r="I223">
        <v>8</v>
      </c>
      <c r="J223" t="s">
        <v>71</v>
      </c>
      <c r="K223" s="1">
        <v>45872</v>
      </c>
      <c r="L223" t="s">
        <v>41</v>
      </c>
      <c r="M223" t="s">
        <v>39</v>
      </c>
      <c r="N223" t="b">
        <v>1</v>
      </c>
      <c r="O223">
        <v>1221</v>
      </c>
    </row>
    <row r="224" spans="1:15" x14ac:dyDescent="0.35">
      <c r="A224" s="1">
        <v>45872</v>
      </c>
      <c r="B224" t="s">
        <v>250</v>
      </c>
      <c r="C224" t="s">
        <v>137</v>
      </c>
      <c r="D224" t="s">
        <v>36</v>
      </c>
      <c r="E224">
        <v>13</v>
      </c>
      <c r="F224" t="s">
        <v>251</v>
      </c>
      <c r="G224">
        <v>13</v>
      </c>
      <c r="H224">
        <v>2025</v>
      </c>
      <c r="I224">
        <v>8</v>
      </c>
      <c r="J224" t="s">
        <v>71</v>
      </c>
      <c r="K224" s="1">
        <v>45872</v>
      </c>
      <c r="L224" t="s">
        <v>41</v>
      </c>
      <c r="M224" t="s">
        <v>39</v>
      </c>
      <c r="N224" t="b">
        <v>1</v>
      </c>
      <c r="O224">
        <v>1222</v>
      </c>
    </row>
    <row r="225" spans="1:15" x14ac:dyDescent="0.35">
      <c r="A225" s="1">
        <v>45788</v>
      </c>
      <c r="B225" t="s">
        <v>252</v>
      </c>
      <c r="C225" t="s">
        <v>137</v>
      </c>
      <c r="D225" t="s">
        <v>36</v>
      </c>
      <c r="E225">
        <v>7.79</v>
      </c>
      <c r="F225" t="s">
        <v>253</v>
      </c>
      <c r="G225">
        <v>7.79</v>
      </c>
      <c r="H225">
        <v>2025</v>
      </c>
      <c r="I225">
        <v>5</v>
      </c>
      <c r="J225" t="s">
        <v>75</v>
      </c>
      <c r="K225" s="1">
        <v>45788</v>
      </c>
      <c r="L225" t="s">
        <v>41</v>
      </c>
      <c r="M225" t="s">
        <v>39</v>
      </c>
      <c r="N225" t="b">
        <v>1</v>
      </c>
      <c r="O225">
        <v>1331</v>
      </c>
    </row>
    <row r="226" spans="1:15" x14ac:dyDescent="0.35">
      <c r="A226" s="1">
        <v>45917</v>
      </c>
      <c r="B226" t="s">
        <v>210</v>
      </c>
      <c r="C226" t="s">
        <v>16</v>
      </c>
      <c r="D226" t="s">
        <v>17</v>
      </c>
      <c r="E226">
        <v>-16.239999999999998</v>
      </c>
      <c r="F226" t="s">
        <v>156</v>
      </c>
      <c r="G226">
        <v>16.239999999999998</v>
      </c>
      <c r="H226">
        <v>2025</v>
      </c>
      <c r="I226">
        <v>9</v>
      </c>
      <c r="J226" t="s">
        <v>30</v>
      </c>
      <c r="K226" s="1">
        <v>45917</v>
      </c>
      <c r="L226" t="s">
        <v>58</v>
      </c>
      <c r="M226" t="s">
        <v>21</v>
      </c>
      <c r="N226" t="b">
        <v>1</v>
      </c>
      <c r="O226">
        <v>592</v>
      </c>
    </row>
    <row r="227" spans="1:15" x14ac:dyDescent="0.35">
      <c r="A227" s="1">
        <v>45836</v>
      </c>
      <c r="B227" t="s">
        <v>155</v>
      </c>
      <c r="C227" t="s">
        <v>16</v>
      </c>
      <c r="D227" t="s">
        <v>36</v>
      </c>
      <c r="E227">
        <v>90.93</v>
      </c>
      <c r="F227" t="s">
        <v>156</v>
      </c>
      <c r="G227">
        <v>90.93</v>
      </c>
      <c r="H227">
        <v>2025</v>
      </c>
      <c r="I227">
        <v>6</v>
      </c>
      <c r="J227" t="s">
        <v>33</v>
      </c>
      <c r="K227" s="1">
        <v>45836</v>
      </c>
      <c r="L227" t="s">
        <v>20</v>
      </c>
      <c r="M227" t="s">
        <v>39</v>
      </c>
      <c r="N227" t="b">
        <v>1</v>
      </c>
      <c r="O227">
        <v>490</v>
      </c>
    </row>
    <row r="228" spans="1:15" x14ac:dyDescent="0.35">
      <c r="A228" s="1">
        <v>46004</v>
      </c>
      <c r="B228" t="s">
        <v>196</v>
      </c>
      <c r="C228" t="s">
        <v>16</v>
      </c>
      <c r="D228" t="s">
        <v>36</v>
      </c>
      <c r="E228">
        <v>242.72</v>
      </c>
      <c r="F228" t="s">
        <v>156</v>
      </c>
      <c r="G228">
        <v>242.72</v>
      </c>
      <c r="H228">
        <v>2025</v>
      </c>
      <c r="I228">
        <v>12</v>
      </c>
      <c r="J228" t="s">
        <v>66</v>
      </c>
      <c r="K228" s="1">
        <v>46004</v>
      </c>
      <c r="L228" t="s">
        <v>20</v>
      </c>
      <c r="M228" t="s">
        <v>39</v>
      </c>
      <c r="N228" t="b">
        <v>1</v>
      </c>
      <c r="O228">
        <v>203</v>
      </c>
    </row>
    <row r="229" spans="1:15" x14ac:dyDescent="0.35">
      <c r="A229" s="1">
        <v>45787</v>
      </c>
      <c r="B229" t="s">
        <v>194</v>
      </c>
      <c r="C229" t="s">
        <v>16</v>
      </c>
      <c r="D229" t="s">
        <v>36</v>
      </c>
      <c r="E229">
        <v>28.22</v>
      </c>
      <c r="F229" t="s">
        <v>156</v>
      </c>
      <c r="G229">
        <v>28.22</v>
      </c>
      <c r="H229">
        <v>2025</v>
      </c>
      <c r="I229">
        <v>5</v>
      </c>
      <c r="J229" t="s">
        <v>75</v>
      </c>
      <c r="K229" s="1">
        <v>45787</v>
      </c>
      <c r="L229" t="s">
        <v>20</v>
      </c>
      <c r="M229" t="s">
        <v>39</v>
      </c>
      <c r="N229" t="b">
        <v>1</v>
      </c>
      <c r="O229">
        <v>573</v>
      </c>
    </row>
    <row r="230" spans="1:15" x14ac:dyDescent="0.35">
      <c r="A230" s="1">
        <v>46103</v>
      </c>
      <c r="B230" t="s">
        <v>254</v>
      </c>
      <c r="C230" t="s">
        <v>16</v>
      </c>
      <c r="D230" t="s">
        <v>36</v>
      </c>
      <c r="E230">
        <v>21.6</v>
      </c>
      <c r="F230" t="s">
        <v>254</v>
      </c>
      <c r="G230">
        <v>21.6</v>
      </c>
      <c r="H230">
        <v>2026</v>
      </c>
      <c r="I230">
        <v>3</v>
      </c>
      <c r="J230" t="s">
        <v>48</v>
      </c>
      <c r="K230" s="1">
        <v>46103</v>
      </c>
      <c r="L230" t="s">
        <v>41</v>
      </c>
      <c r="M230" t="s">
        <v>39</v>
      </c>
      <c r="N230" t="b">
        <v>1</v>
      </c>
      <c r="O230">
        <v>972</v>
      </c>
    </row>
    <row r="231" spans="1:15" x14ac:dyDescent="0.35">
      <c r="A231" s="1">
        <v>46099</v>
      </c>
      <c r="B231" t="s">
        <v>255</v>
      </c>
      <c r="C231" t="s">
        <v>16</v>
      </c>
      <c r="D231" t="s">
        <v>36</v>
      </c>
      <c r="E231">
        <v>14.09</v>
      </c>
      <c r="F231" t="s">
        <v>256</v>
      </c>
      <c r="G231">
        <v>14.09</v>
      </c>
      <c r="H231">
        <v>2026</v>
      </c>
      <c r="I231">
        <v>3</v>
      </c>
      <c r="J231" t="s">
        <v>48</v>
      </c>
      <c r="K231" s="1">
        <v>46099</v>
      </c>
      <c r="L231" t="s">
        <v>58</v>
      </c>
      <c r="M231" t="s">
        <v>39</v>
      </c>
      <c r="N231" t="b">
        <v>1</v>
      </c>
      <c r="O231">
        <v>974</v>
      </c>
    </row>
    <row r="232" spans="1:15" x14ac:dyDescent="0.35">
      <c r="A232" s="1">
        <v>46089</v>
      </c>
      <c r="B232" t="s">
        <v>257</v>
      </c>
      <c r="C232" t="s">
        <v>16</v>
      </c>
      <c r="D232" t="s">
        <v>36</v>
      </c>
      <c r="E232">
        <v>16.260000000000002</v>
      </c>
      <c r="F232" t="s">
        <v>258</v>
      </c>
      <c r="G232">
        <v>16.260000000000002</v>
      </c>
      <c r="H232">
        <v>2026</v>
      </c>
      <c r="I232">
        <v>3</v>
      </c>
      <c r="J232" t="s">
        <v>48</v>
      </c>
      <c r="K232" s="1">
        <v>46089</v>
      </c>
      <c r="L232" t="s">
        <v>41</v>
      </c>
      <c r="M232" t="s">
        <v>39</v>
      </c>
      <c r="N232" t="b">
        <v>1</v>
      </c>
      <c r="O232">
        <v>977</v>
      </c>
    </row>
    <row r="233" spans="1:15" x14ac:dyDescent="0.35">
      <c r="A233" s="1">
        <v>46087</v>
      </c>
      <c r="B233" t="s">
        <v>259</v>
      </c>
      <c r="C233" t="s">
        <v>137</v>
      </c>
      <c r="D233" t="s">
        <v>36</v>
      </c>
      <c r="E233">
        <v>65.040000000000006</v>
      </c>
      <c r="F233" t="s">
        <v>260</v>
      </c>
      <c r="G233">
        <v>65.040000000000006</v>
      </c>
      <c r="H233">
        <v>2026</v>
      </c>
      <c r="I233">
        <v>3</v>
      </c>
      <c r="J233" t="s">
        <v>48</v>
      </c>
      <c r="K233" s="1">
        <v>46087</v>
      </c>
      <c r="L233" t="s">
        <v>31</v>
      </c>
      <c r="M233" t="s">
        <v>39</v>
      </c>
      <c r="N233" t="b">
        <v>1</v>
      </c>
      <c r="O233">
        <v>976</v>
      </c>
    </row>
    <row r="234" spans="1:15" x14ac:dyDescent="0.35">
      <c r="A234" s="1">
        <v>46101</v>
      </c>
      <c r="B234" t="s">
        <v>261</v>
      </c>
      <c r="C234" t="s">
        <v>137</v>
      </c>
      <c r="D234" t="s">
        <v>36</v>
      </c>
      <c r="E234">
        <v>38.14</v>
      </c>
      <c r="F234" t="s">
        <v>262</v>
      </c>
      <c r="G234">
        <v>38.14</v>
      </c>
      <c r="H234">
        <v>2026</v>
      </c>
      <c r="I234">
        <v>3</v>
      </c>
      <c r="J234" t="s">
        <v>48</v>
      </c>
      <c r="K234" s="1">
        <v>46101</v>
      </c>
      <c r="L234" t="s">
        <v>31</v>
      </c>
      <c r="M234" t="s">
        <v>39</v>
      </c>
      <c r="N234" t="b">
        <v>1</v>
      </c>
      <c r="O234">
        <v>967</v>
      </c>
    </row>
    <row r="235" spans="1:15" x14ac:dyDescent="0.35">
      <c r="A235" s="1">
        <v>45980</v>
      </c>
      <c r="B235" t="s">
        <v>263</v>
      </c>
      <c r="C235" t="s">
        <v>16</v>
      </c>
      <c r="D235" t="s">
        <v>36</v>
      </c>
      <c r="E235">
        <v>7.57</v>
      </c>
      <c r="F235" t="s">
        <v>264</v>
      </c>
      <c r="G235">
        <v>7.57</v>
      </c>
      <c r="H235">
        <v>2025</v>
      </c>
      <c r="I235">
        <v>11</v>
      </c>
      <c r="J235" t="s">
        <v>68</v>
      </c>
      <c r="K235" s="1">
        <v>45980</v>
      </c>
      <c r="L235" t="s">
        <v>58</v>
      </c>
      <c r="M235" t="s">
        <v>39</v>
      </c>
      <c r="N235" t="b">
        <v>1</v>
      </c>
      <c r="O235">
        <v>1093</v>
      </c>
    </row>
    <row r="236" spans="1:15" x14ac:dyDescent="0.35">
      <c r="A236" s="1">
        <v>45976</v>
      </c>
      <c r="B236" t="s">
        <v>265</v>
      </c>
      <c r="C236" t="s">
        <v>16</v>
      </c>
      <c r="D236" t="s">
        <v>36</v>
      </c>
      <c r="E236">
        <v>57.44</v>
      </c>
      <c r="F236" t="s">
        <v>265</v>
      </c>
      <c r="G236">
        <v>57.44</v>
      </c>
      <c r="H236">
        <v>2025</v>
      </c>
      <c r="I236">
        <v>11</v>
      </c>
      <c r="J236" t="s">
        <v>68</v>
      </c>
      <c r="K236" s="1">
        <v>45976</v>
      </c>
      <c r="L236" t="s">
        <v>20</v>
      </c>
      <c r="M236" t="s">
        <v>39</v>
      </c>
      <c r="N236" t="b">
        <v>1</v>
      </c>
      <c r="O236">
        <v>1095</v>
      </c>
    </row>
    <row r="237" spans="1:15" x14ac:dyDescent="0.35">
      <c r="A237" s="1">
        <v>45974</v>
      </c>
      <c r="B237" t="s">
        <v>266</v>
      </c>
      <c r="C237" t="s">
        <v>16</v>
      </c>
      <c r="D237" t="s">
        <v>36</v>
      </c>
      <c r="E237">
        <v>24</v>
      </c>
      <c r="F237" t="s">
        <v>267</v>
      </c>
      <c r="G237">
        <v>24</v>
      </c>
      <c r="H237">
        <v>2025</v>
      </c>
      <c r="I237">
        <v>11</v>
      </c>
      <c r="J237" t="s">
        <v>68</v>
      </c>
      <c r="K237" s="1">
        <v>45974</v>
      </c>
      <c r="L237" t="s">
        <v>23</v>
      </c>
      <c r="M237" t="s">
        <v>39</v>
      </c>
      <c r="N237" t="b">
        <v>1</v>
      </c>
      <c r="O237">
        <v>1096</v>
      </c>
    </row>
    <row r="238" spans="1:15" x14ac:dyDescent="0.35">
      <c r="A238" s="1">
        <v>45972</v>
      </c>
      <c r="B238" t="s">
        <v>268</v>
      </c>
      <c r="C238" t="s">
        <v>16</v>
      </c>
      <c r="D238" t="s">
        <v>36</v>
      </c>
      <c r="E238">
        <v>45.37</v>
      </c>
      <c r="F238" t="s">
        <v>269</v>
      </c>
      <c r="G238">
        <v>45.37</v>
      </c>
      <c r="H238">
        <v>2025</v>
      </c>
      <c r="I238">
        <v>11</v>
      </c>
      <c r="J238" t="s">
        <v>68</v>
      </c>
      <c r="K238" s="1">
        <v>45972</v>
      </c>
      <c r="L238" t="s">
        <v>50</v>
      </c>
      <c r="M238" t="s">
        <v>39</v>
      </c>
      <c r="N238" t="b">
        <v>1</v>
      </c>
      <c r="O238">
        <v>1097</v>
      </c>
    </row>
    <row r="239" spans="1:15" x14ac:dyDescent="0.35">
      <c r="A239" s="1">
        <v>45972</v>
      </c>
      <c r="B239" t="s">
        <v>270</v>
      </c>
      <c r="C239" t="s">
        <v>16</v>
      </c>
      <c r="D239" t="s">
        <v>36</v>
      </c>
      <c r="E239">
        <v>142.43</v>
      </c>
      <c r="F239" t="s">
        <v>271</v>
      </c>
      <c r="G239">
        <v>142.43</v>
      </c>
      <c r="H239">
        <v>2025</v>
      </c>
      <c r="I239">
        <v>11</v>
      </c>
      <c r="J239" t="s">
        <v>68</v>
      </c>
      <c r="K239" s="1">
        <v>45972</v>
      </c>
      <c r="L239" t="s">
        <v>50</v>
      </c>
      <c r="M239" t="s">
        <v>39</v>
      </c>
      <c r="N239" t="b">
        <v>1</v>
      </c>
      <c r="O239">
        <v>1098</v>
      </c>
    </row>
    <row r="240" spans="1:15" x14ac:dyDescent="0.35">
      <c r="A240" s="1">
        <v>45972</v>
      </c>
      <c r="B240" t="s">
        <v>272</v>
      </c>
      <c r="C240" t="s">
        <v>16</v>
      </c>
      <c r="D240" t="s">
        <v>36</v>
      </c>
      <c r="E240">
        <v>29.95</v>
      </c>
      <c r="F240" t="s">
        <v>273</v>
      </c>
      <c r="G240">
        <v>29.95</v>
      </c>
      <c r="H240">
        <v>2025</v>
      </c>
      <c r="I240">
        <v>11</v>
      </c>
      <c r="J240" t="s">
        <v>68</v>
      </c>
      <c r="K240" s="1">
        <v>45972</v>
      </c>
      <c r="L240" t="s">
        <v>50</v>
      </c>
      <c r="M240" t="s">
        <v>39</v>
      </c>
      <c r="N240" t="b">
        <v>1</v>
      </c>
      <c r="O240">
        <v>1099</v>
      </c>
    </row>
    <row r="241" spans="1:15" x14ac:dyDescent="0.35">
      <c r="A241" s="1">
        <v>45983</v>
      </c>
      <c r="B241" t="s">
        <v>274</v>
      </c>
      <c r="C241" t="s">
        <v>16</v>
      </c>
      <c r="D241" t="s">
        <v>36</v>
      </c>
      <c r="E241">
        <v>216</v>
      </c>
      <c r="F241" t="s">
        <v>275</v>
      </c>
      <c r="G241">
        <v>216</v>
      </c>
      <c r="H241">
        <v>2025</v>
      </c>
      <c r="I241">
        <v>11</v>
      </c>
      <c r="J241" t="s">
        <v>68</v>
      </c>
      <c r="K241" s="1">
        <v>45983</v>
      </c>
      <c r="L241" t="s">
        <v>20</v>
      </c>
      <c r="M241" t="s">
        <v>39</v>
      </c>
      <c r="N241" t="b">
        <v>1</v>
      </c>
      <c r="O241">
        <v>1109</v>
      </c>
    </row>
    <row r="242" spans="1:15" x14ac:dyDescent="0.35">
      <c r="A242" s="1">
        <v>45953</v>
      </c>
      <c r="B242" t="s">
        <v>207</v>
      </c>
      <c r="C242" t="s">
        <v>16</v>
      </c>
      <c r="D242" t="s">
        <v>36</v>
      </c>
      <c r="E242">
        <v>88.75</v>
      </c>
      <c r="F242" t="s">
        <v>207</v>
      </c>
      <c r="G242">
        <v>88.75</v>
      </c>
      <c r="H242">
        <v>2025</v>
      </c>
      <c r="I242">
        <v>10</v>
      </c>
      <c r="J242" t="s">
        <v>57</v>
      </c>
      <c r="K242" s="1">
        <v>45953</v>
      </c>
      <c r="L242" t="s">
        <v>23</v>
      </c>
      <c r="M242" t="s">
        <v>39</v>
      </c>
      <c r="N242" t="b">
        <v>1</v>
      </c>
      <c r="O242">
        <v>1111</v>
      </c>
    </row>
    <row r="243" spans="1:15" x14ac:dyDescent="0.35">
      <c r="A243" s="1">
        <v>46079</v>
      </c>
      <c r="B243" t="s">
        <v>276</v>
      </c>
      <c r="C243" t="s">
        <v>16</v>
      </c>
      <c r="D243" t="s">
        <v>36</v>
      </c>
      <c r="E243">
        <v>40.99</v>
      </c>
      <c r="F243" t="s">
        <v>276</v>
      </c>
      <c r="G243">
        <v>40.99</v>
      </c>
      <c r="H243">
        <v>2026</v>
      </c>
      <c r="I243">
        <v>2</v>
      </c>
      <c r="J243" t="s">
        <v>19</v>
      </c>
      <c r="K243" s="1">
        <v>46079</v>
      </c>
      <c r="L243" t="s">
        <v>23</v>
      </c>
      <c r="M243" t="s">
        <v>39</v>
      </c>
      <c r="N243" t="b">
        <v>1</v>
      </c>
      <c r="O243">
        <v>981</v>
      </c>
    </row>
    <row r="244" spans="1:15" x14ac:dyDescent="0.35">
      <c r="A244" s="1">
        <v>46098</v>
      </c>
      <c r="B244" t="s">
        <v>277</v>
      </c>
      <c r="C244" t="s">
        <v>16</v>
      </c>
      <c r="D244" t="s">
        <v>36</v>
      </c>
      <c r="E244">
        <v>51.81</v>
      </c>
      <c r="F244" t="s">
        <v>278</v>
      </c>
      <c r="G244">
        <v>51.81</v>
      </c>
      <c r="H244">
        <v>2026</v>
      </c>
      <c r="I244">
        <v>3</v>
      </c>
      <c r="J244" t="s">
        <v>48</v>
      </c>
      <c r="K244" s="1">
        <v>46098</v>
      </c>
      <c r="L244" t="s">
        <v>50</v>
      </c>
      <c r="M244" t="s">
        <v>39</v>
      </c>
      <c r="N244" t="b">
        <v>1</v>
      </c>
      <c r="O244">
        <v>986</v>
      </c>
    </row>
    <row r="245" spans="1:15" x14ac:dyDescent="0.35">
      <c r="A245" s="1">
        <v>46071</v>
      </c>
      <c r="B245" t="s">
        <v>255</v>
      </c>
      <c r="C245" t="s">
        <v>16</v>
      </c>
      <c r="D245" t="s">
        <v>36</v>
      </c>
      <c r="E245">
        <v>5.96</v>
      </c>
      <c r="F245" t="s">
        <v>256</v>
      </c>
      <c r="G245">
        <v>5.96</v>
      </c>
      <c r="H245">
        <v>2026</v>
      </c>
      <c r="I245">
        <v>2</v>
      </c>
      <c r="J245" t="s">
        <v>19</v>
      </c>
      <c r="K245" s="1">
        <v>46071</v>
      </c>
      <c r="L245" t="s">
        <v>58</v>
      </c>
      <c r="M245" t="s">
        <v>39</v>
      </c>
      <c r="N245" t="b">
        <v>1</v>
      </c>
      <c r="O245">
        <v>987</v>
      </c>
    </row>
    <row r="246" spans="1:15" x14ac:dyDescent="0.35">
      <c r="A246" s="1">
        <v>46097</v>
      </c>
      <c r="B246" t="s">
        <v>185</v>
      </c>
      <c r="C246" t="s">
        <v>186</v>
      </c>
      <c r="D246" t="s">
        <v>36</v>
      </c>
      <c r="E246">
        <v>58.08</v>
      </c>
      <c r="F246" t="s">
        <v>187</v>
      </c>
      <c r="G246">
        <v>58.08</v>
      </c>
      <c r="H246">
        <v>2026</v>
      </c>
      <c r="I246">
        <v>3</v>
      </c>
      <c r="J246" t="s">
        <v>48</v>
      </c>
      <c r="K246" s="1">
        <v>46097</v>
      </c>
      <c r="L246" t="s">
        <v>38</v>
      </c>
      <c r="M246" t="s">
        <v>39</v>
      </c>
      <c r="N246" t="b">
        <v>1</v>
      </c>
      <c r="O246">
        <v>1013</v>
      </c>
    </row>
    <row r="247" spans="1:15" x14ac:dyDescent="0.35">
      <c r="A247" s="1">
        <v>46103</v>
      </c>
      <c r="B247" t="s">
        <v>157</v>
      </c>
      <c r="C247" t="s">
        <v>158</v>
      </c>
      <c r="D247" t="s">
        <v>36</v>
      </c>
      <c r="E247">
        <v>17.989999999999998</v>
      </c>
      <c r="F247" t="s">
        <v>159</v>
      </c>
      <c r="G247">
        <v>17.989999999999998</v>
      </c>
      <c r="H247">
        <v>2026</v>
      </c>
      <c r="I247">
        <v>3</v>
      </c>
      <c r="J247" t="s">
        <v>48</v>
      </c>
      <c r="K247" s="1">
        <v>46103</v>
      </c>
      <c r="L247" t="s">
        <v>41</v>
      </c>
      <c r="M247" t="s">
        <v>39</v>
      </c>
      <c r="N247" t="b">
        <v>0</v>
      </c>
      <c r="O247">
        <v>1065</v>
      </c>
    </row>
    <row r="248" spans="1:15" x14ac:dyDescent="0.35">
      <c r="A248" s="1">
        <v>46052</v>
      </c>
      <c r="B248" t="s">
        <v>84</v>
      </c>
      <c r="C248" t="s">
        <v>16</v>
      </c>
      <c r="D248" t="s">
        <v>36</v>
      </c>
      <c r="E248">
        <v>21.33</v>
      </c>
      <c r="F248" t="s">
        <v>84</v>
      </c>
      <c r="G248">
        <v>21.33</v>
      </c>
      <c r="H248">
        <v>2026</v>
      </c>
      <c r="I248">
        <v>1</v>
      </c>
      <c r="J248" t="s">
        <v>24</v>
      </c>
      <c r="K248" s="1">
        <v>46052</v>
      </c>
      <c r="L248" t="s">
        <v>31</v>
      </c>
      <c r="M248" t="s">
        <v>39</v>
      </c>
      <c r="N248" t="b">
        <v>1</v>
      </c>
      <c r="O248">
        <v>1040</v>
      </c>
    </row>
    <row r="249" spans="1:15" x14ac:dyDescent="0.35">
      <c r="A249" s="1">
        <v>46040</v>
      </c>
      <c r="B249" t="s">
        <v>279</v>
      </c>
      <c r="C249" t="s">
        <v>16</v>
      </c>
      <c r="D249" t="s">
        <v>36</v>
      </c>
      <c r="E249">
        <v>79.680000000000007</v>
      </c>
      <c r="F249" t="s">
        <v>280</v>
      </c>
      <c r="G249">
        <v>79.680000000000007</v>
      </c>
      <c r="H249">
        <v>2026</v>
      </c>
      <c r="I249">
        <v>1</v>
      </c>
      <c r="J249" t="s">
        <v>24</v>
      </c>
      <c r="K249" s="1">
        <v>46040</v>
      </c>
      <c r="L249" t="s">
        <v>41</v>
      </c>
      <c r="M249" t="s">
        <v>39</v>
      </c>
      <c r="N249" t="b">
        <v>1</v>
      </c>
      <c r="O249">
        <v>1041</v>
      </c>
    </row>
    <row r="250" spans="1:15" x14ac:dyDescent="0.35">
      <c r="A250" s="1">
        <v>46039</v>
      </c>
      <c r="B250" t="s">
        <v>265</v>
      </c>
      <c r="C250" t="s">
        <v>16</v>
      </c>
      <c r="D250" t="s">
        <v>17</v>
      </c>
      <c r="E250">
        <v>-34.72</v>
      </c>
      <c r="F250" t="s">
        <v>265</v>
      </c>
      <c r="G250">
        <v>34.72</v>
      </c>
      <c r="H250">
        <v>2026</v>
      </c>
      <c r="I250">
        <v>1</v>
      </c>
      <c r="J250" t="s">
        <v>24</v>
      </c>
      <c r="K250" s="1">
        <v>46039</v>
      </c>
      <c r="L250" t="s">
        <v>20</v>
      </c>
      <c r="M250" t="s">
        <v>21</v>
      </c>
      <c r="N250" t="b">
        <v>1</v>
      </c>
      <c r="O250">
        <v>1044</v>
      </c>
    </row>
    <row r="251" spans="1:15" x14ac:dyDescent="0.35">
      <c r="A251" s="1">
        <v>46019</v>
      </c>
      <c r="B251" t="s">
        <v>84</v>
      </c>
      <c r="C251" t="s">
        <v>16</v>
      </c>
      <c r="D251" t="s">
        <v>36</v>
      </c>
      <c r="E251">
        <v>41.67</v>
      </c>
      <c r="F251" t="s">
        <v>84</v>
      </c>
      <c r="G251">
        <v>41.67</v>
      </c>
      <c r="H251">
        <v>2025</v>
      </c>
      <c r="I251">
        <v>12</v>
      </c>
      <c r="J251" t="s">
        <v>66</v>
      </c>
      <c r="K251" s="1">
        <v>46019</v>
      </c>
      <c r="L251" t="s">
        <v>41</v>
      </c>
      <c r="M251" t="s">
        <v>39</v>
      </c>
      <c r="N251" t="b">
        <v>1</v>
      </c>
      <c r="O251">
        <v>1045</v>
      </c>
    </row>
    <row r="252" spans="1:15" x14ac:dyDescent="0.35">
      <c r="A252" s="1">
        <v>46028</v>
      </c>
      <c r="B252" t="s">
        <v>281</v>
      </c>
      <c r="C252" t="s">
        <v>282</v>
      </c>
      <c r="D252" t="s">
        <v>36</v>
      </c>
      <c r="E252">
        <v>22.85</v>
      </c>
      <c r="F252" t="s">
        <v>283</v>
      </c>
      <c r="G252">
        <v>22.85</v>
      </c>
      <c r="H252">
        <v>2026</v>
      </c>
      <c r="I252">
        <v>1</v>
      </c>
      <c r="J252" t="s">
        <v>24</v>
      </c>
      <c r="K252" s="1">
        <v>46028</v>
      </c>
      <c r="L252" t="s">
        <v>50</v>
      </c>
      <c r="M252" t="s">
        <v>39</v>
      </c>
      <c r="N252" t="b">
        <v>0</v>
      </c>
      <c r="O252">
        <v>395</v>
      </c>
    </row>
    <row r="253" spans="1:15" x14ac:dyDescent="0.35">
      <c r="A253" s="1">
        <v>46022</v>
      </c>
      <c r="B253" t="s">
        <v>284</v>
      </c>
      <c r="C253" t="s">
        <v>16</v>
      </c>
      <c r="D253" t="s">
        <v>36</v>
      </c>
      <c r="E253">
        <v>24.19</v>
      </c>
      <c r="F253" t="s">
        <v>232</v>
      </c>
      <c r="G253">
        <v>24.19</v>
      </c>
      <c r="H253">
        <v>2025</v>
      </c>
      <c r="I253">
        <v>12</v>
      </c>
      <c r="J253" t="s">
        <v>66</v>
      </c>
      <c r="K253" s="1">
        <v>46022</v>
      </c>
      <c r="L253" t="s">
        <v>58</v>
      </c>
      <c r="M253" t="s">
        <v>39</v>
      </c>
      <c r="N253" t="b">
        <v>1</v>
      </c>
      <c r="O253">
        <v>1046</v>
      </c>
    </row>
    <row r="254" spans="1:15" x14ac:dyDescent="0.35">
      <c r="A254" s="1">
        <v>46009</v>
      </c>
      <c r="B254" t="s">
        <v>84</v>
      </c>
      <c r="C254" t="s">
        <v>16</v>
      </c>
      <c r="D254" t="s">
        <v>36</v>
      </c>
      <c r="E254">
        <v>33.26</v>
      </c>
      <c r="F254" t="s">
        <v>84</v>
      </c>
      <c r="G254">
        <v>33.26</v>
      </c>
      <c r="H254">
        <v>2025</v>
      </c>
      <c r="I254">
        <v>12</v>
      </c>
      <c r="J254" t="s">
        <v>66</v>
      </c>
      <c r="K254" s="1">
        <v>46009</v>
      </c>
      <c r="L254" t="s">
        <v>23</v>
      </c>
      <c r="M254" t="s">
        <v>39</v>
      </c>
      <c r="N254" t="b">
        <v>1</v>
      </c>
      <c r="O254">
        <v>1047</v>
      </c>
    </row>
    <row r="255" spans="1:15" x14ac:dyDescent="0.35">
      <c r="A255" s="1">
        <v>46021</v>
      </c>
      <c r="B255" t="s">
        <v>281</v>
      </c>
      <c r="C255" t="s">
        <v>282</v>
      </c>
      <c r="D255" t="s">
        <v>36</v>
      </c>
      <c r="E255">
        <v>6.68</v>
      </c>
      <c r="F255" t="s">
        <v>283</v>
      </c>
      <c r="G255">
        <v>6.68</v>
      </c>
      <c r="H255">
        <v>2025</v>
      </c>
      <c r="I255">
        <v>12</v>
      </c>
      <c r="J255" t="s">
        <v>66</v>
      </c>
      <c r="K255" s="1">
        <v>46021</v>
      </c>
      <c r="L255" t="s">
        <v>50</v>
      </c>
      <c r="M255" t="s">
        <v>39</v>
      </c>
      <c r="N255" t="b">
        <v>0</v>
      </c>
      <c r="O255">
        <v>396</v>
      </c>
    </row>
    <row r="256" spans="1:15" x14ac:dyDescent="0.35">
      <c r="A256" s="1">
        <v>45796</v>
      </c>
      <c r="B256" t="s">
        <v>285</v>
      </c>
      <c r="C256" t="s">
        <v>168</v>
      </c>
      <c r="D256" t="s">
        <v>36</v>
      </c>
      <c r="E256">
        <v>22.6</v>
      </c>
      <c r="F256" t="s">
        <v>176</v>
      </c>
      <c r="G256">
        <v>22.6</v>
      </c>
      <c r="H256">
        <v>2025</v>
      </c>
      <c r="I256">
        <v>5</v>
      </c>
      <c r="J256" t="s">
        <v>75</v>
      </c>
      <c r="K256" s="1">
        <v>45796</v>
      </c>
      <c r="L256" t="s">
        <v>38</v>
      </c>
      <c r="M256" t="s">
        <v>39</v>
      </c>
      <c r="N256" t="b">
        <v>0</v>
      </c>
      <c r="O256">
        <v>397</v>
      </c>
    </row>
    <row r="257" spans="1:15" x14ac:dyDescent="0.35">
      <c r="A257" s="1">
        <v>45809</v>
      </c>
      <c r="B257" t="s">
        <v>286</v>
      </c>
      <c r="C257" t="s">
        <v>168</v>
      </c>
      <c r="D257" t="s">
        <v>36</v>
      </c>
      <c r="E257">
        <v>54.66</v>
      </c>
      <c r="F257" t="s">
        <v>287</v>
      </c>
      <c r="G257">
        <v>54.66</v>
      </c>
      <c r="H257">
        <v>2025</v>
      </c>
      <c r="I257">
        <v>6</v>
      </c>
      <c r="J257" t="s">
        <v>33</v>
      </c>
      <c r="K257" s="1">
        <v>45809</v>
      </c>
      <c r="L257" t="s">
        <v>41</v>
      </c>
      <c r="M257" t="s">
        <v>39</v>
      </c>
      <c r="N257" t="b">
        <v>0</v>
      </c>
      <c r="O257">
        <v>1313</v>
      </c>
    </row>
    <row r="258" spans="1:15" x14ac:dyDescent="0.35">
      <c r="A258" s="1">
        <v>46094</v>
      </c>
      <c r="B258" t="s">
        <v>170</v>
      </c>
      <c r="C258" t="s">
        <v>158</v>
      </c>
      <c r="D258" t="s">
        <v>36</v>
      </c>
      <c r="E258">
        <v>41.42</v>
      </c>
      <c r="F258" t="s">
        <v>171</v>
      </c>
      <c r="G258">
        <v>41.42</v>
      </c>
      <c r="H258">
        <v>2026</v>
      </c>
      <c r="I258">
        <v>3</v>
      </c>
      <c r="J258" t="s">
        <v>48</v>
      </c>
      <c r="K258" s="1">
        <v>46094</v>
      </c>
      <c r="L258" t="s">
        <v>31</v>
      </c>
      <c r="M258" t="s">
        <v>39</v>
      </c>
      <c r="N258" t="b">
        <v>0</v>
      </c>
      <c r="O258">
        <v>399</v>
      </c>
    </row>
    <row r="259" spans="1:15" x14ac:dyDescent="0.35">
      <c r="A259" s="1">
        <v>46018</v>
      </c>
      <c r="B259" t="s">
        <v>254</v>
      </c>
      <c r="C259" t="s">
        <v>16</v>
      </c>
      <c r="D259" t="s">
        <v>36</v>
      </c>
      <c r="E259">
        <v>33.409999999999997</v>
      </c>
      <c r="F259" t="s">
        <v>254</v>
      </c>
      <c r="G259">
        <v>33.409999999999997</v>
      </c>
      <c r="H259">
        <v>2025</v>
      </c>
      <c r="I259">
        <v>12</v>
      </c>
      <c r="J259" t="s">
        <v>66</v>
      </c>
      <c r="K259" s="1">
        <v>46018</v>
      </c>
      <c r="L259" t="s">
        <v>20</v>
      </c>
      <c r="M259" t="s">
        <v>39</v>
      </c>
      <c r="N259" t="b">
        <v>1</v>
      </c>
      <c r="O259">
        <v>1048</v>
      </c>
    </row>
    <row r="260" spans="1:15" x14ac:dyDescent="0.35">
      <c r="A260" s="1">
        <v>46090</v>
      </c>
      <c r="B260" t="s">
        <v>288</v>
      </c>
      <c r="C260" t="s">
        <v>158</v>
      </c>
      <c r="D260" t="s">
        <v>36</v>
      </c>
      <c r="E260">
        <v>20</v>
      </c>
      <c r="F260" t="s">
        <v>289</v>
      </c>
      <c r="G260">
        <v>20</v>
      </c>
      <c r="H260">
        <v>2026</v>
      </c>
      <c r="I260">
        <v>3</v>
      </c>
      <c r="J260" t="s">
        <v>48</v>
      </c>
      <c r="K260" s="1">
        <v>46090</v>
      </c>
      <c r="L260" t="s">
        <v>38</v>
      </c>
      <c r="M260" t="s">
        <v>39</v>
      </c>
      <c r="N260" t="b">
        <v>0</v>
      </c>
      <c r="O260">
        <v>400</v>
      </c>
    </row>
    <row r="261" spans="1:15" x14ac:dyDescent="0.35">
      <c r="A261" s="1">
        <v>46014</v>
      </c>
      <c r="B261" t="s">
        <v>263</v>
      </c>
      <c r="C261" t="s">
        <v>16</v>
      </c>
      <c r="D261" t="s">
        <v>36</v>
      </c>
      <c r="E261">
        <v>21.53</v>
      </c>
      <c r="F261" t="s">
        <v>264</v>
      </c>
      <c r="G261">
        <v>21.53</v>
      </c>
      <c r="H261">
        <v>2025</v>
      </c>
      <c r="I261">
        <v>12</v>
      </c>
      <c r="J261" t="s">
        <v>66</v>
      </c>
      <c r="K261" s="1">
        <v>46014</v>
      </c>
      <c r="L261" t="s">
        <v>50</v>
      </c>
      <c r="M261" t="s">
        <v>39</v>
      </c>
      <c r="N261" t="b">
        <v>1</v>
      </c>
      <c r="O261">
        <v>1049</v>
      </c>
    </row>
    <row r="262" spans="1:15" x14ac:dyDescent="0.35">
      <c r="A262" s="1">
        <v>46009</v>
      </c>
      <c r="B262" t="s">
        <v>277</v>
      </c>
      <c r="C262" t="s">
        <v>16</v>
      </c>
      <c r="D262" t="s">
        <v>36</v>
      </c>
      <c r="E262">
        <v>16.28</v>
      </c>
      <c r="F262" t="s">
        <v>278</v>
      </c>
      <c r="G262">
        <v>16.28</v>
      </c>
      <c r="H262">
        <v>2025</v>
      </c>
      <c r="I262">
        <v>12</v>
      </c>
      <c r="J262" t="s">
        <v>66</v>
      </c>
      <c r="K262" s="1">
        <v>46009</v>
      </c>
      <c r="L262" t="s">
        <v>23</v>
      </c>
      <c r="M262" t="s">
        <v>39</v>
      </c>
      <c r="N262" t="b">
        <v>1</v>
      </c>
      <c r="O262">
        <v>1050</v>
      </c>
    </row>
    <row r="263" spans="1:15" x14ac:dyDescent="0.35">
      <c r="A263" s="1">
        <v>46012</v>
      </c>
      <c r="B263" t="s">
        <v>290</v>
      </c>
      <c r="C263" t="s">
        <v>16</v>
      </c>
      <c r="D263" t="s">
        <v>36</v>
      </c>
      <c r="E263">
        <v>50.07</v>
      </c>
      <c r="F263" t="s">
        <v>291</v>
      </c>
      <c r="G263">
        <v>50.07</v>
      </c>
      <c r="H263">
        <v>2025</v>
      </c>
      <c r="I263">
        <v>12</v>
      </c>
      <c r="J263" t="s">
        <v>66</v>
      </c>
      <c r="K263" s="1">
        <v>46012</v>
      </c>
      <c r="L263" t="s">
        <v>41</v>
      </c>
      <c r="M263" t="s">
        <v>39</v>
      </c>
      <c r="N263" t="b">
        <v>1</v>
      </c>
      <c r="O263">
        <v>1051</v>
      </c>
    </row>
    <row r="264" spans="1:15" x14ac:dyDescent="0.35">
      <c r="A264" s="1">
        <v>46012</v>
      </c>
      <c r="B264" t="s">
        <v>290</v>
      </c>
      <c r="C264" t="s">
        <v>16</v>
      </c>
      <c r="D264" t="s">
        <v>36</v>
      </c>
      <c r="E264">
        <v>106.02</v>
      </c>
      <c r="F264" t="s">
        <v>291</v>
      </c>
      <c r="G264">
        <v>106.02</v>
      </c>
      <c r="H264">
        <v>2025</v>
      </c>
      <c r="I264">
        <v>12</v>
      </c>
      <c r="J264" t="s">
        <v>66</v>
      </c>
      <c r="K264" s="1">
        <v>46012</v>
      </c>
      <c r="L264" t="s">
        <v>41</v>
      </c>
      <c r="M264" t="s">
        <v>39</v>
      </c>
      <c r="N264" t="b">
        <v>1</v>
      </c>
      <c r="O264">
        <v>1052</v>
      </c>
    </row>
    <row r="265" spans="1:15" x14ac:dyDescent="0.35">
      <c r="A265" s="1">
        <v>46077</v>
      </c>
      <c r="B265" t="s">
        <v>292</v>
      </c>
      <c r="C265" t="s">
        <v>137</v>
      </c>
      <c r="D265" t="s">
        <v>36</v>
      </c>
      <c r="E265">
        <v>14.85</v>
      </c>
      <c r="F265" t="s">
        <v>293</v>
      </c>
      <c r="G265">
        <v>14.85</v>
      </c>
      <c r="H265">
        <v>2026</v>
      </c>
      <c r="I265">
        <v>2</v>
      </c>
      <c r="J265" t="s">
        <v>19</v>
      </c>
      <c r="K265" s="1">
        <v>46077</v>
      </c>
      <c r="L265" t="s">
        <v>50</v>
      </c>
      <c r="M265" t="s">
        <v>39</v>
      </c>
      <c r="N265" t="b">
        <v>1</v>
      </c>
      <c r="O265">
        <v>982</v>
      </c>
    </row>
    <row r="266" spans="1:15" x14ac:dyDescent="0.35">
      <c r="A266" s="1">
        <v>46065</v>
      </c>
      <c r="B266" t="s">
        <v>294</v>
      </c>
      <c r="C266" t="s">
        <v>137</v>
      </c>
      <c r="D266" t="s">
        <v>36</v>
      </c>
      <c r="E266">
        <v>11.24</v>
      </c>
      <c r="F266" t="s">
        <v>221</v>
      </c>
      <c r="G266">
        <v>11.24</v>
      </c>
      <c r="H266">
        <v>2026</v>
      </c>
      <c r="I266">
        <v>2</v>
      </c>
      <c r="J266" t="s">
        <v>19</v>
      </c>
      <c r="K266" s="1">
        <v>46065</v>
      </c>
      <c r="L266" t="s">
        <v>23</v>
      </c>
      <c r="M266" t="s">
        <v>39</v>
      </c>
      <c r="N266" t="b">
        <v>1</v>
      </c>
      <c r="O266">
        <v>988</v>
      </c>
    </row>
    <row r="267" spans="1:15" x14ac:dyDescent="0.35">
      <c r="A267" s="1">
        <v>46064</v>
      </c>
      <c r="B267" t="s">
        <v>295</v>
      </c>
      <c r="C267" t="s">
        <v>137</v>
      </c>
      <c r="D267" t="s">
        <v>36</v>
      </c>
      <c r="E267">
        <v>13.73</v>
      </c>
      <c r="F267" t="s">
        <v>293</v>
      </c>
      <c r="G267">
        <v>13.73</v>
      </c>
      <c r="H267">
        <v>2026</v>
      </c>
      <c r="I267">
        <v>2</v>
      </c>
      <c r="J267" t="s">
        <v>19</v>
      </c>
      <c r="K267" s="1">
        <v>46064</v>
      </c>
      <c r="L267" t="s">
        <v>58</v>
      </c>
      <c r="M267" t="s">
        <v>39</v>
      </c>
      <c r="N267" t="b">
        <v>1</v>
      </c>
      <c r="O267">
        <v>995</v>
      </c>
    </row>
    <row r="268" spans="1:15" x14ac:dyDescent="0.35">
      <c r="A268" s="1">
        <v>45969</v>
      </c>
      <c r="B268" t="s">
        <v>277</v>
      </c>
      <c r="C268" t="s">
        <v>16</v>
      </c>
      <c r="D268" t="s">
        <v>36</v>
      </c>
      <c r="E268">
        <v>68.239999999999995</v>
      </c>
      <c r="F268" t="s">
        <v>278</v>
      </c>
      <c r="G268">
        <v>68.239999999999995</v>
      </c>
      <c r="H268">
        <v>2025</v>
      </c>
      <c r="I268">
        <v>11</v>
      </c>
      <c r="J268" t="s">
        <v>68</v>
      </c>
      <c r="K268" s="1">
        <v>45969</v>
      </c>
      <c r="L268" t="s">
        <v>20</v>
      </c>
      <c r="M268" t="s">
        <v>39</v>
      </c>
      <c r="N268" t="b">
        <v>1</v>
      </c>
      <c r="O268">
        <v>1112</v>
      </c>
    </row>
    <row r="269" spans="1:15" x14ac:dyDescent="0.35">
      <c r="A269" s="1">
        <v>45987</v>
      </c>
      <c r="B269" t="s">
        <v>296</v>
      </c>
      <c r="C269" t="s">
        <v>16</v>
      </c>
      <c r="D269" t="s">
        <v>17</v>
      </c>
      <c r="E269">
        <v>-85.5</v>
      </c>
      <c r="F269" t="s">
        <v>297</v>
      </c>
      <c r="G269">
        <v>85.5</v>
      </c>
      <c r="H269">
        <v>2025</v>
      </c>
      <c r="I269">
        <v>11</v>
      </c>
      <c r="J269" t="s">
        <v>68</v>
      </c>
      <c r="K269" s="1">
        <v>45987</v>
      </c>
      <c r="L269" t="s">
        <v>58</v>
      </c>
      <c r="M269" t="s">
        <v>21</v>
      </c>
      <c r="N269" t="b">
        <v>1</v>
      </c>
      <c r="O269">
        <v>1132</v>
      </c>
    </row>
    <row r="270" spans="1:15" x14ac:dyDescent="0.35">
      <c r="A270" s="1">
        <v>45987</v>
      </c>
      <c r="B270" t="s">
        <v>296</v>
      </c>
      <c r="C270" t="s">
        <v>16</v>
      </c>
      <c r="D270" t="s">
        <v>17</v>
      </c>
      <c r="E270">
        <v>-81.63</v>
      </c>
      <c r="F270" t="s">
        <v>297</v>
      </c>
      <c r="G270">
        <v>81.63</v>
      </c>
      <c r="H270">
        <v>2025</v>
      </c>
      <c r="I270">
        <v>11</v>
      </c>
      <c r="J270" t="s">
        <v>68</v>
      </c>
      <c r="K270" s="1">
        <v>45987</v>
      </c>
      <c r="L270" t="s">
        <v>58</v>
      </c>
      <c r="M270" t="s">
        <v>21</v>
      </c>
      <c r="N270" t="b">
        <v>1</v>
      </c>
      <c r="O270">
        <v>1133</v>
      </c>
    </row>
    <row r="271" spans="1:15" x14ac:dyDescent="0.35">
      <c r="A271" s="1">
        <v>45975</v>
      </c>
      <c r="B271" t="s">
        <v>298</v>
      </c>
      <c r="C271" t="s">
        <v>16</v>
      </c>
      <c r="D271" t="s">
        <v>36</v>
      </c>
      <c r="E271">
        <v>122</v>
      </c>
      <c r="F271" t="s">
        <v>297</v>
      </c>
      <c r="G271">
        <v>122</v>
      </c>
      <c r="H271">
        <v>2025</v>
      </c>
      <c r="I271">
        <v>11</v>
      </c>
      <c r="J271" t="s">
        <v>68</v>
      </c>
      <c r="K271" s="1">
        <v>45975</v>
      </c>
      <c r="L271" t="s">
        <v>31</v>
      </c>
      <c r="M271" t="s">
        <v>39</v>
      </c>
      <c r="N271" t="b">
        <v>1</v>
      </c>
      <c r="O271">
        <v>1134</v>
      </c>
    </row>
    <row r="272" spans="1:15" x14ac:dyDescent="0.35">
      <c r="A272" s="1">
        <v>45972</v>
      </c>
      <c r="B272" t="s">
        <v>299</v>
      </c>
      <c r="C272" t="s">
        <v>16</v>
      </c>
      <c r="D272" t="s">
        <v>36</v>
      </c>
      <c r="E272">
        <v>85.84</v>
      </c>
      <c r="F272" t="s">
        <v>297</v>
      </c>
      <c r="G272">
        <v>85.84</v>
      </c>
      <c r="H272">
        <v>2025</v>
      </c>
      <c r="I272">
        <v>11</v>
      </c>
      <c r="J272" t="s">
        <v>68</v>
      </c>
      <c r="K272" s="1">
        <v>45972</v>
      </c>
      <c r="L272" t="s">
        <v>50</v>
      </c>
      <c r="M272" t="s">
        <v>39</v>
      </c>
      <c r="N272" t="b">
        <v>1</v>
      </c>
      <c r="O272">
        <v>1135</v>
      </c>
    </row>
    <row r="273" spans="1:15" x14ac:dyDescent="0.35">
      <c r="A273" s="1">
        <v>46052</v>
      </c>
      <c r="B273" t="s">
        <v>300</v>
      </c>
      <c r="C273" t="s">
        <v>16</v>
      </c>
      <c r="D273" t="s">
        <v>17</v>
      </c>
      <c r="E273">
        <v>-20.56</v>
      </c>
      <c r="F273" t="s">
        <v>301</v>
      </c>
      <c r="G273">
        <v>20.56</v>
      </c>
      <c r="H273">
        <v>2026</v>
      </c>
      <c r="I273">
        <v>1</v>
      </c>
      <c r="J273" t="s">
        <v>24</v>
      </c>
      <c r="K273" s="1">
        <v>46052</v>
      </c>
      <c r="L273" t="s">
        <v>31</v>
      </c>
      <c r="M273" t="s">
        <v>21</v>
      </c>
      <c r="N273" t="b">
        <v>1</v>
      </c>
      <c r="O273">
        <v>1136</v>
      </c>
    </row>
    <row r="274" spans="1:15" x14ac:dyDescent="0.35">
      <c r="A274" s="1">
        <v>46035</v>
      </c>
      <c r="B274" t="s">
        <v>300</v>
      </c>
      <c r="C274" t="s">
        <v>16</v>
      </c>
      <c r="D274" t="s">
        <v>36</v>
      </c>
      <c r="E274">
        <v>10.84</v>
      </c>
      <c r="F274" t="s">
        <v>301</v>
      </c>
      <c r="G274">
        <v>10.84</v>
      </c>
      <c r="H274">
        <v>2026</v>
      </c>
      <c r="I274">
        <v>1</v>
      </c>
      <c r="J274" t="s">
        <v>24</v>
      </c>
      <c r="K274" s="1">
        <v>46035</v>
      </c>
      <c r="L274" t="s">
        <v>50</v>
      </c>
      <c r="M274" t="s">
        <v>39</v>
      </c>
      <c r="N274" t="b">
        <v>1</v>
      </c>
      <c r="O274">
        <v>1137</v>
      </c>
    </row>
    <row r="275" spans="1:15" x14ac:dyDescent="0.35">
      <c r="A275" s="1">
        <v>46022</v>
      </c>
      <c r="B275" t="s">
        <v>300</v>
      </c>
      <c r="C275" t="s">
        <v>16</v>
      </c>
      <c r="D275" t="s">
        <v>17</v>
      </c>
      <c r="E275">
        <v>-69.319999999999993</v>
      </c>
      <c r="F275" t="s">
        <v>301</v>
      </c>
      <c r="G275">
        <v>69.319999999999993</v>
      </c>
      <c r="H275">
        <v>2025</v>
      </c>
      <c r="I275">
        <v>12</v>
      </c>
      <c r="J275" t="s">
        <v>66</v>
      </c>
      <c r="K275" s="1">
        <v>46022</v>
      </c>
      <c r="L275" t="s">
        <v>58</v>
      </c>
      <c r="M275" t="s">
        <v>21</v>
      </c>
      <c r="N275" t="b">
        <v>1</v>
      </c>
      <c r="O275">
        <v>1138</v>
      </c>
    </row>
    <row r="276" spans="1:15" x14ac:dyDescent="0.35">
      <c r="A276" s="1">
        <v>46014</v>
      </c>
      <c r="B276" t="s">
        <v>300</v>
      </c>
      <c r="C276" t="s">
        <v>16</v>
      </c>
      <c r="D276" t="s">
        <v>36</v>
      </c>
      <c r="E276">
        <v>56.26</v>
      </c>
      <c r="F276" t="s">
        <v>301</v>
      </c>
      <c r="G276">
        <v>56.26</v>
      </c>
      <c r="H276">
        <v>2025</v>
      </c>
      <c r="I276">
        <v>12</v>
      </c>
      <c r="J276" t="s">
        <v>66</v>
      </c>
      <c r="K276" s="1">
        <v>46014</v>
      </c>
      <c r="L276" t="s">
        <v>50</v>
      </c>
      <c r="M276" t="s">
        <v>39</v>
      </c>
      <c r="N276" t="b">
        <v>1</v>
      </c>
      <c r="O276">
        <v>1139</v>
      </c>
    </row>
    <row r="277" spans="1:15" x14ac:dyDescent="0.35">
      <c r="A277" s="1">
        <v>46084</v>
      </c>
      <c r="B277" t="s">
        <v>302</v>
      </c>
      <c r="C277" t="s">
        <v>282</v>
      </c>
      <c r="D277" t="s">
        <v>36</v>
      </c>
      <c r="E277">
        <v>26.02</v>
      </c>
      <c r="F277" t="s">
        <v>303</v>
      </c>
      <c r="G277">
        <v>26.02</v>
      </c>
      <c r="H277">
        <v>2026</v>
      </c>
      <c r="I277">
        <v>3</v>
      </c>
      <c r="J277" t="s">
        <v>48</v>
      </c>
      <c r="K277" s="1">
        <v>46084</v>
      </c>
      <c r="L277" t="s">
        <v>50</v>
      </c>
      <c r="M277" t="s">
        <v>39</v>
      </c>
      <c r="N277" t="b">
        <v>0</v>
      </c>
      <c r="O277">
        <v>401</v>
      </c>
    </row>
    <row r="278" spans="1:15" x14ac:dyDescent="0.35">
      <c r="A278" s="1">
        <v>45940</v>
      </c>
      <c r="B278" t="s">
        <v>304</v>
      </c>
      <c r="C278" t="s">
        <v>16</v>
      </c>
      <c r="D278" t="s">
        <v>36</v>
      </c>
      <c r="E278">
        <v>22.35</v>
      </c>
      <c r="F278" t="s">
        <v>305</v>
      </c>
      <c r="G278">
        <v>22.35</v>
      </c>
      <c r="H278">
        <v>2025</v>
      </c>
      <c r="I278">
        <v>10</v>
      </c>
      <c r="J278" t="s">
        <v>57</v>
      </c>
      <c r="K278" s="1">
        <v>45940</v>
      </c>
      <c r="L278" t="s">
        <v>31</v>
      </c>
      <c r="M278" t="s">
        <v>39</v>
      </c>
      <c r="N278" t="b">
        <v>1</v>
      </c>
      <c r="O278">
        <v>1147</v>
      </c>
    </row>
    <row r="279" spans="1:15" x14ac:dyDescent="0.35">
      <c r="A279" s="1">
        <v>46073</v>
      </c>
      <c r="B279" t="s">
        <v>288</v>
      </c>
      <c r="C279" t="s">
        <v>158</v>
      </c>
      <c r="D279" t="s">
        <v>36</v>
      </c>
      <c r="E279">
        <v>60</v>
      </c>
      <c r="F279" t="s">
        <v>289</v>
      </c>
      <c r="G279">
        <v>60</v>
      </c>
      <c r="H279">
        <v>2026</v>
      </c>
      <c r="I279">
        <v>2</v>
      </c>
      <c r="J279" t="s">
        <v>19</v>
      </c>
      <c r="K279" s="1">
        <v>46073</v>
      </c>
      <c r="L279" t="s">
        <v>31</v>
      </c>
      <c r="M279" t="s">
        <v>39</v>
      </c>
      <c r="N279" t="b">
        <v>0</v>
      </c>
      <c r="O279">
        <v>403</v>
      </c>
    </row>
    <row r="280" spans="1:15" x14ac:dyDescent="0.35">
      <c r="A280" s="1">
        <v>46071</v>
      </c>
      <c r="B280" t="s">
        <v>306</v>
      </c>
      <c r="C280" t="s">
        <v>168</v>
      </c>
      <c r="D280" t="s">
        <v>36</v>
      </c>
      <c r="E280">
        <v>45.7</v>
      </c>
      <c r="F280" t="s">
        <v>176</v>
      </c>
      <c r="G280">
        <v>45.7</v>
      </c>
      <c r="H280">
        <v>2026</v>
      </c>
      <c r="I280">
        <v>2</v>
      </c>
      <c r="J280" t="s">
        <v>19</v>
      </c>
      <c r="K280" s="1">
        <v>46071</v>
      </c>
      <c r="L280" t="s">
        <v>58</v>
      </c>
      <c r="M280" t="s">
        <v>39</v>
      </c>
      <c r="N280" t="b">
        <v>0</v>
      </c>
      <c r="O280">
        <v>404</v>
      </c>
    </row>
    <row r="281" spans="1:15" x14ac:dyDescent="0.35">
      <c r="A281" s="1">
        <v>46042</v>
      </c>
      <c r="B281" s="2" t="s">
        <v>307</v>
      </c>
      <c r="C281" t="s">
        <v>178</v>
      </c>
      <c r="D281" t="s">
        <v>36</v>
      </c>
      <c r="E281">
        <v>138.6</v>
      </c>
      <c r="F281" t="s">
        <v>179</v>
      </c>
      <c r="G281">
        <v>138.6</v>
      </c>
      <c r="H281">
        <v>2026</v>
      </c>
      <c r="I281">
        <v>1</v>
      </c>
      <c r="J281" t="s">
        <v>24</v>
      </c>
      <c r="K281" s="1">
        <v>46042</v>
      </c>
      <c r="L281" t="s">
        <v>50</v>
      </c>
      <c r="M281" t="s">
        <v>39</v>
      </c>
      <c r="N281" t="b">
        <v>0</v>
      </c>
      <c r="O281">
        <v>1450</v>
      </c>
    </row>
    <row r="282" spans="1:15" x14ac:dyDescent="0.35">
      <c r="A282" s="1">
        <v>46067</v>
      </c>
      <c r="B282" t="s">
        <v>308</v>
      </c>
      <c r="C282" t="s">
        <v>309</v>
      </c>
      <c r="D282" t="s">
        <v>36</v>
      </c>
      <c r="E282">
        <v>7</v>
      </c>
      <c r="F282" t="s">
        <v>310</v>
      </c>
      <c r="G282">
        <v>7</v>
      </c>
      <c r="H282">
        <v>2026</v>
      </c>
      <c r="I282">
        <v>2</v>
      </c>
      <c r="J282" t="s">
        <v>19</v>
      </c>
      <c r="K282" s="1">
        <v>46067</v>
      </c>
      <c r="L282" t="s">
        <v>20</v>
      </c>
      <c r="M282" t="s">
        <v>39</v>
      </c>
      <c r="N282" t="b">
        <v>0</v>
      </c>
      <c r="O282">
        <v>406</v>
      </c>
    </row>
    <row r="283" spans="1:15" x14ac:dyDescent="0.35">
      <c r="A283" s="1">
        <v>46011</v>
      </c>
      <c r="B283" t="s">
        <v>177</v>
      </c>
      <c r="C283" t="s">
        <v>178</v>
      </c>
      <c r="D283" t="s">
        <v>36</v>
      </c>
      <c r="E283">
        <v>138.6</v>
      </c>
      <c r="F283" t="s">
        <v>179</v>
      </c>
      <c r="G283">
        <v>138.6</v>
      </c>
      <c r="H283">
        <v>2025</v>
      </c>
      <c r="I283">
        <v>12</v>
      </c>
      <c r="J283" t="s">
        <v>66</v>
      </c>
      <c r="K283" s="1">
        <v>46011</v>
      </c>
      <c r="L283" t="s">
        <v>20</v>
      </c>
      <c r="M283" t="s">
        <v>39</v>
      </c>
      <c r="N283" t="b">
        <v>0</v>
      </c>
      <c r="O283">
        <v>1451</v>
      </c>
    </row>
    <row r="284" spans="1:15" x14ac:dyDescent="0.35">
      <c r="A284" s="1">
        <v>46062</v>
      </c>
      <c r="B284" t="s">
        <v>311</v>
      </c>
      <c r="C284" t="s">
        <v>168</v>
      </c>
      <c r="D284" t="s">
        <v>36</v>
      </c>
      <c r="E284">
        <v>33.11</v>
      </c>
      <c r="F284" t="s">
        <v>312</v>
      </c>
      <c r="G284">
        <v>33.11</v>
      </c>
      <c r="H284">
        <v>2026</v>
      </c>
      <c r="I284">
        <v>2</v>
      </c>
      <c r="J284" t="s">
        <v>19</v>
      </c>
      <c r="K284" s="1">
        <v>46062</v>
      </c>
      <c r="L284" t="s">
        <v>38</v>
      </c>
      <c r="M284" t="s">
        <v>39</v>
      </c>
      <c r="N284" t="b">
        <v>0</v>
      </c>
      <c r="O284">
        <v>408</v>
      </c>
    </row>
    <row r="285" spans="1:15" x14ac:dyDescent="0.35">
      <c r="A285" s="1">
        <v>46060</v>
      </c>
      <c r="B285" t="s">
        <v>313</v>
      </c>
      <c r="C285" t="s">
        <v>168</v>
      </c>
      <c r="D285" t="s">
        <v>36</v>
      </c>
      <c r="E285">
        <v>15.68</v>
      </c>
      <c r="F285" t="s">
        <v>314</v>
      </c>
      <c r="G285">
        <v>15.68</v>
      </c>
      <c r="H285">
        <v>2026</v>
      </c>
      <c r="I285">
        <v>2</v>
      </c>
      <c r="J285" t="s">
        <v>19</v>
      </c>
      <c r="K285" s="1">
        <v>46060</v>
      </c>
      <c r="L285" t="s">
        <v>20</v>
      </c>
      <c r="M285" t="s">
        <v>39</v>
      </c>
      <c r="N285" t="b">
        <v>0</v>
      </c>
      <c r="O285">
        <v>409</v>
      </c>
    </row>
    <row r="286" spans="1:15" x14ac:dyDescent="0.35">
      <c r="A286" s="1">
        <v>46060</v>
      </c>
      <c r="B286" t="s">
        <v>315</v>
      </c>
      <c r="C286" t="s">
        <v>168</v>
      </c>
      <c r="D286" t="s">
        <v>36</v>
      </c>
      <c r="E286">
        <v>10.79</v>
      </c>
      <c r="F286" t="s">
        <v>316</v>
      </c>
      <c r="G286">
        <v>10.79</v>
      </c>
      <c r="H286">
        <v>2026</v>
      </c>
      <c r="I286">
        <v>2</v>
      </c>
      <c r="J286" t="s">
        <v>19</v>
      </c>
      <c r="K286" s="1">
        <v>46060</v>
      </c>
      <c r="L286" t="s">
        <v>20</v>
      </c>
      <c r="M286" t="s">
        <v>39</v>
      </c>
      <c r="N286" t="b">
        <v>0</v>
      </c>
      <c r="O286">
        <v>410</v>
      </c>
    </row>
    <row r="287" spans="1:15" x14ac:dyDescent="0.35">
      <c r="A287" s="1">
        <v>45981</v>
      </c>
      <c r="B287" t="s">
        <v>177</v>
      </c>
      <c r="C287" t="s">
        <v>178</v>
      </c>
      <c r="D287" t="s">
        <v>36</v>
      </c>
      <c r="E287">
        <v>138.6</v>
      </c>
      <c r="F287" t="s">
        <v>179</v>
      </c>
      <c r="G287">
        <v>138.6</v>
      </c>
      <c r="H287">
        <v>2025</v>
      </c>
      <c r="I287">
        <v>11</v>
      </c>
      <c r="J287" t="s">
        <v>68</v>
      </c>
      <c r="K287" s="1">
        <v>45981</v>
      </c>
      <c r="L287" t="s">
        <v>23</v>
      </c>
      <c r="M287" t="s">
        <v>39</v>
      </c>
      <c r="N287" t="b">
        <v>0</v>
      </c>
      <c r="O287">
        <v>1452</v>
      </c>
    </row>
    <row r="288" spans="1:15" x14ac:dyDescent="0.35">
      <c r="A288" s="1">
        <v>45996</v>
      </c>
      <c r="B288" t="s">
        <v>317</v>
      </c>
      <c r="C288" t="s">
        <v>282</v>
      </c>
      <c r="D288" t="s">
        <v>36</v>
      </c>
      <c r="E288">
        <v>25</v>
      </c>
      <c r="F288" t="s">
        <v>318</v>
      </c>
      <c r="G288">
        <v>25</v>
      </c>
      <c r="H288">
        <v>2025</v>
      </c>
      <c r="I288">
        <v>12</v>
      </c>
      <c r="J288" t="s">
        <v>66</v>
      </c>
      <c r="K288" s="1">
        <v>45996</v>
      </c>
      <c r="L288" t="s">
        <v>31</v>
      </c>
      <c r="M288" t="s">
        <v>39</v>
      </c>
      <c r="N288" t="b">
        <v>0</v>
      </c>
      <c r="O288">
        <v>413</v>
      </c>
    </row>
    <row r="289" spans="1:15" x14ac:dyDescent="0.35">
      <c r="A289" s="1">
        <v>46027</v>
      </c>
      <c r="B289" t="s">
        <v>319</v>
      </c>
      <c r="C289" t="s">
        <v>158</v>
      </c>
      <c r="D289" t="s">
        <v>36</v>
      </c>
      <c r="E289">
        <v>40</v>
      </c>
      <c r="F289" t="s">
        <v>184</v>
      </c>
      <c r="G289">
        <v>40</v>
      </c>
      <c r="H289">
        <v>2026</v>
      </c>
      <c r="I289">
        <v>1</v>
      </c>
      <c r="J289" t="s">
        <v>24</v>
      </c>
      <c r="K289" s="1">
        <v>46027</v>
      </c>
      <c r="L289" t="s">
        <v>38</v>
      </c>
      <c r="M289" t="s">
        <v>39</v>
      </c>
      <c r="N289" t="b">
        <v>0</v>
      </c>
      <c r="O289">
        <v>1035</v>
      </c>
    </row>
    <row r="290" spans="1:15" x14ac:dyDescent="0.35">
      <c r="A290" s="1">
        <v>46097</v>
      </c>
      <c r="B290" t="s">
        <v>122</v>
      </c>
      <c r="C290" t="s">
        <v>123</v>
      </c>
      <c r="D290" t="s">
        <v>36</v>
      </c>
      <c r="E290">
        <v>289.60000000000002</v>
      </c>
      <c r="F290" t="s">
        <v>124</v>
      </c>
      <c r="G290">
        <v>289.60000000000002</v>
      </c>
      <c r="H290">
        <v>2026</v>
      </c>
      <c r="I290">
        <v>3</v>
      </c>
      <c r="J290" t="s">
        <v>48</v>
      </c>
      <c r="K290" s="1">
        <v>46097</v>
      </c>
      <c r="L290" t="s">
        <v>38</v>
      </c>
      <c r="M290" t="s">
        <v>39</v>
      </c>
      <c r="N290" t="b">
        <v>0</v>
      </c>
      <c r="O290">
        <v>994</v>
      </c>
    </row>
    <row r="291" spans="1:15" x14ac:dyDescent="0.35">
      <c r="A291" s="1">
        <v>46097</v>
      </c>
      <c r="B291" t="s">
        <v>122</v>
      </c>
      <c r="C291" t="s">
        <v>123</v>
      </c>
      <c r="D291" t="s">
        <v>36</v>
      </c>
      <c r="E291">
        <v>362</v>
      </c>
      <c r="F291" t="s">
        <v>124</v>
      </c>
      <c r="G291">
        <v>362</v>
      </c>
      <c r="H291">
        <v>2026</v>
      </c>
      <c r="I291">
        <v>3</v>
      </c>
      <c r="J291" t="s">
        <v>48</v>
      </c>
      <c r="K291" s="1">
        <v>46097</v>
      </c>
      <c r="L291" t="s">
        <v>38</v>
      </c>
      <c r="M291" t="s">
        <v>39</v>
      </c>
      <c r="N291" t="b">
        <v>0</v>
      </c>
      <c r="O291">
        <v>1002</v>
      </c>
    </row>
    <row r="292" spans="1:15" x14ac:dyDescent="0.35">
      <c r="A292" s="1">
        <v>45938</v>
      </c>
      <c r="B292" t="s">
        <v>320</v>
      </c>
      <c r="C292" t="s">
        <v>16</v>
      </c>
      <c r="D292" t="s">
        <v>36</v>
      </c>
      <c r="E292">
        <v>6.4</v>
      </c>
      <c r="F292" t="s">
        <v>321</v>
      </c>
      <c r="G292">
        <v>6.4</v>
      </c>
      <c r="H292">
        <v>2025</v>
      </c>
      <c r="I292">
        <v>10</v>
      </c>
      <c r="J292" t="s">
        <v>57</v>
      </c>
      <c r="K292" s="1">
        <v>45938</v>
      </c>
      <c r="L292" t="s">
        <v>58</v>
      </c>
      <c r="M292" t="s">
        <v>39</v>
      </c>
      <c r="N292" t="b">
        <v>1</v>
      </c>
      <c r="O292">
        <v>1151</v>
      </c>
    </row>
    <row r="293" spans="1:15" x14ac:dyDescent="0.35">
      <c r="A293" s="1">
        <v>45937</v>
      </c>
      <c r="B293" t="s">
        <v>320</v>
      </c>
      <c r="C293" t="s">
        <v>16</v>
      </c>
      <c r="D293" t="s">
        <v>36</v>
      </c>
      <c r="E293">
        <v>67.11</v>
      </c>
      <c r="F293" t="s">
        <v>321</v>
      </c>
      <c r="G293">
        <v>67.11</v>
      </c>
      <c r="H293">
        <v>2025</v>
      </c>
      <c r="I293">
        <v>10</v>
      </c>
      <c r="J293" t="s">
        <v>57</v>
      </c>
      <c r="K293" s="1">
        <v>45937</v>
      </c>
      <c r="L293" t="s">
        <v>50</v>
      </c>
      <c r="M293" t="s">
        <v>39</v>
      </c>
      <c r="N293" t="b">
        <v>1</v>
      </c>
      <c r="O293">
        <v>1153</v>
      </c>
    </row>
    <row r="294" spans="1:15" x14ac:dyDescent="0.35">
      <c r="A294" s="1">
        <v>46103</v>
      </c>
      <c r="B294" t="s">
        <v>322</v>
      </c>
      <c r="C294" t="s">
        <v>168</v>
      </c>
      <c r="D294" t="s">
        <v>36</v>
      </c>
      <c r="E294">
        <v>70.8</v>
      </c>
      <c r="F294" t="s">
        <v>323</v>
      </c>
      <c r="G294">
        <v>70.8</v>
      </c>
      <c r="H294">
        <v>2026</v>
      </c>
      <c r="I294">
        <v>3</v>
      </c>
      <c r="J294" t="s">
        <v>48</v>
      </c>
      <c r="K294" s="1">
        <v>46103</v>
      </c>
      <c r="L294" t="s">
        <v>41</v>
      </c>
      <c r="M294" t="s">
        <v>39</v>
      </c>
      <c r="N294" t="b">
        <v>0</v>
      </c>
      <c r="O294">
        <v>1004</v>
      </c>
    </row>
    <row r="295" spans="1:15" x14ac:dyDescent="0.35">
      <c r="A295" s="1">
        <v>46063</v>
      </c>
      <c r="B295" t="s">
        <v>324</v>
      </c>
      <c r="C295" t="s">
        <v>35</v>
      </c>
      <c r="D295" t="s">
        <v>36</v>
      </c>
      <c r="E295">
        <v>113.78</v>
      </c>
      <c r="F295" t="s">
        <v>325</v>
      </c>
      <c r="G295">
        <v>113.78</v>
      </c>
      <c r="H295">
        <v>2026</v>
      </c>
      <c r="I295">
        <v>2</v>
      </c>
      <c r="J295" t="s">
        <v>19</v>
      </c>
      <c r="K295" s="1">
        <v>46063</v>
      </c>
      <c r="L295" t="s">
        <v>50</v>
      </c>
      <c r="M295" t="s">
        <v>39</v>
      </c>
      <c r="N295" t="b">
        <v>1</v>
      </c>
      <c r="O295">
        <v>990</v>
      </c>
    </row>
    <row r="296" spans="1:15" x14ac:dyDescent="0.35">
      <c r="A296" s="1">
        <v>46063</v>
      </c>
      <c r="B296" t="s">
        <v>324</v>
      </c>
      <c r="C296" t="s">
        <v>35</v>
      </c>
      <c r="D296" t="s">
        <v>36</v>
      </c>
      <c r="E296">
        <v>18.2</v>
      </c>
      <c r="F296" t="s">
        <v>325</v>
      </c>
      <c r="G296">
        <v>18.2</v>
      </c>
      <c r="H296">
        <v>2026</v>
      </c>
      <c r="I296">
        <v>2</v>
      </c>
      <c r="J296" t="s">
        <v>19</v>
      </c>
      <c r="K296" s="1">
        <v>46063</v>
      </c>
      <c r="L296" t="s">
        <v>50</v>
      </c>
      <c r="M296" t="s">
        <v>39</v>
      </c>
      <c r="N296" t="b">
        <v>1</v>
      </c>
      <c r="O296">
        <v>991</v>
      </c>
    </row>
    <row r="297" spans="1:15" x14ac:dyDescent="0.35">
      <c r="A297" s="1">
        <v>45826</v>
      </c>
      <c r="B297" t="s">
        <v>326</v>
      </c>
      <c r="C297" t="s">
        <v>35</v>
      </c>
      <c r="D297" t="s">
        <v>36</v>
      </c>
      <c r="E297">
        <v>7.01</v>
      </c>
      <c r="F297" t="s">
        <v>327</v>
      </c>
      <c r="G297">
        <v>7.01</v>
      </c>
      <c r="H297">
        <v>2025</v>
      </c>
      <c r="I297">
        <v>6</v>
      </c>
      <c r="J297" t="s">
        <v>33</v>
      </c>
      <c r="K297" s="1">
        <v>45826</v>
      </c>
      <c r="L297" t="s">
        <v>58</v>
      </c>
      <c r="M297" t="s">
        <v>39</v>
      </c>
      <c r="N297" t="b">
        <v>1</v>
      </c>
      <c r="O297">
        <v>1280</v>
      </c>
    </row>
    <row r="298" spans="1:15" x14ac:dyDescent="0.35">
      <c r="A298" s="1">
        <v>45970</v>
      </c>
      <c r="B298" t="s">
        <v>328</v>
      </c>
      <c r="C298" t="s">
        <v>16</v>
      </c>
      <c r="D298" t="s">
        <v>36</v>
      </c>
      <c r="E298">
        <v>6</v>
      </c>
      <c r="F298" t="s">
        <v>329</v>
      </c>
      <c r="G298">
        <v>6</v>
      </c>
      <c r="H298">
        <v>2025</v>
      </c>
      <c r="I298">
        <v>11</v>
      </c>
      <c r="J298" t="s">
        <v>68</v>
      </c>
      <c r="K298" s="1">
        <v>45970</v>
      </c>
      <c r="L298" t="s">
        <v>41</v>
      </c>
      <c r="M298" t="s">
        <v>39</v>
      </c>
      <c r="N298" t="b">
        <v>1</v>
      </c>
      <c r="O298">
        <v>1102</v>
      </c>
    </row>
    <row r="299" spans="1:15" x14ac:dyDescent="0.35">
      <c r="A299" s="1">
        <v>46047</v>
      </c>
      <c r="B299" t="s">
        <v>330</v>
      </c>
      <c r="C299" t="s">
        <v>218</v>
      </c>
      <c r="D299" t="s">
        <v>36</v>
      </c>
      <c r="E299">
        <v>14.95</v>
      </c>
      <c r="F299" t="s">
        <v>331</v>
      </c>
      <c r="G299">
        <v>14.95</v>
      </c>
      <c r="H299">
        <v>2026</v>
      </c>
      <c r="I299">
        <v>1</v>
      </c>
      <c r="J299" t="s">
        <v>24</v>
      </c>
      <c r="K299" s="1">
        <v>46047</v>
      </c>
      <c r="L299" t="s">
        <v>41</v>
      </c>
      <c r="M299" t="s">
        <v>39</v>
      </c>
      <c r="N299" t="b">
        <v>1</v>
      </c>
      <c r="O299">
        <v>1066</v>
      </c>
    </row>
    <row r="300" spans="1:15" x14ac:dyDescent="0.35">
      <c r="A300" s="1">
        <v>46016</v>
      </c>
      <c r="B300" t="s">
        <v>332</v>
      </c>
      <c r="C300" t="s">
        <v>218</v>
      </c>
      <c r="D300" t="s">
        <v>36</v>
      </c>
      <c r="E300">
        <v>14.95</v>
      </c>
      <c r="F300" t="s">
        <v>331</v>
      </c>
      <c r="G300">
        <v>14.95</v>
      </c>
      <c r="H300">
        <v>2025</v>
      </c>
      <c r="I300">
        <v>12</v>
      </c>
      <c r="J300" t="s">
        <v>66</v>
      </c>
      <c r="K300" s="1">
        <v>46016</v>
      </c>
      <c r="L300" t="s">
        <v>23</v>
      </c>
      <c r="M300" t="s">
        <v>39</v>
      </c>
      <c r="N300" t="b">
        <v>1</v>
      </c>
      <c r="O300">
        <v>1067</v>
      </c>
    </row>
    <row r="301" spans="1:15" x14ac:dyDescent="0.35">
      <c r="A301" s="1">
        <v>46064</v>
      </c>
      <c r="B301" t="s">
        <v>333</v>
      </c>
      <c r="C301" t="s">
        <v>35</v>
      </c>
      <c r="D301" t="s">
        <v>36</v>
      </c>
      <c r="E301">
        <v>35</v>
      </c>
      <c r="F301" t="s">
        <v>334</v>
      </c>
      <c r="G301">
        <v>35</v>
      </c>
      <c r="H301">
        <v>2026</v>
      </c>
      <c r="I301">
        <v>2</v>
      </c>
      <c r="J301" t="s">
        <v>19</v>
      </c>
      <c r="K301" s="1">
        <v>46064</v>
      </c>
      <c r="L301" t="s">
        <v>58</v>
      </c>
      <c r="M301" t="s">
        <v>39</v>
      </c>
      <c r="N301" t="b">
        <v>1</v>
      </c>
      <c r="O301">
        <v>993</v>
      </c>
    </row>
    <row r="302" spans="1:15" x14ac:dyDescent="0.35">
      <c r="A302" s="1">
        <v>46062</v>
      </c>
      <c r="B302" t="s">
        <v>335</v>
      </c>
      <c r="C302" t="s">
        <v>35</v>
      </c>
      <c r="D302" t="s">
        <v>36</v>
      </c>
      <c r="E302">
        <v>31.97</v>
      </c>
      <c r="F302" t="s">
        <v>37</v>
      </c>
      <c r="G302">
        <v>31.97</v>
      </c>
      <c r="H302">
        <v>2026</v>
      </c>
      <c r="I302">
        <v>2</v>
      </c>
      <c r="J302" t="s">
        <v>19</v>
      </c>
      <c r="K302" s="1">
        <v>46062</v>
      </c>
      <c r="L302" t="s">
        <v>38</v>
      </c>
      <c r="M302" t="s">
        <v>39</v>
      </c>
      <c r="N302" t="b">
        <v>1</v>
      </c>
      <c r="O302">
        <v>996</v>
      </c>
    </row>
    <row r="303" spans="1:15" x14ac:dyDescent="0.35">
      <c r="A303" s="1">
        <v>46064</v>
      </c>
      <c r="B303" t="s">
        <v>336</v>
      </c>
      <c r="C303" t="s">
        <v>35</v>
      </c>
      <c r="D303" t="s">
        <v>36</v>
      </c>
      <c r="E303">
        <v>16.309999999999999</v>
      </c>
      <c r="F303" t="s">
        <v>337</v>
      </c>
      <c r="G303">
        <v>16.309999999999999</v>
      </c>
      <c r="H303">
        <v>2026</v>
      </c>
      <c r="I303">
        <v>2</v>
      </c>
      <c r="J303" t="s">
        <v>19</v>
      </c>
      <c r="K303" s="1">
        <v>46064</v>
      </c>
      <c r="L303" t="s">
        <v>58</v>
      </c>
      <c r="M303" t="s">
        <v>39</v>
      </c>
      <c r="N303" t="b">
        <v>1</v>
      </c>
      <c r="O303">
        <v>989</v>
      </c>
    </row>
    <row r="304" spans="1:15" x14ac:dyDescent="0.35">
      <c r="A304" s="1">
        <v>46039</v>
      </c>
      <c r="B304" t="s">
        <v>338</v>
      </c>
      <c r="C304" t="s">
        <v>35</v>
      </c>
      <c r="D304" t="s">
        <v>36</v>
      </c>
      <c r="E304">
        <v>243.29</v>
      </c>
      <c r="F304" t="s">
        <v>337</v>
      </c>
      <c r="G304">
        <v>243.29</v>
      </c>
      <c r="H304">
        <v>2026</v>
      </c>
      <c r="I304">
        <v>1</v>
      </c>
      <c r="J304" t="s">
        <v>24</v>
      </c>
      <c r="K304" s="1">
        <v>46039</v>
      </c>
      <c r="L304" t="s">
        <v>20</v>
      </c>
      <c r="M304" t="s">
        <v>39</v>
      </c>
      <c r="N304" t="b">
        <v>1</v>
      </c>
      <c r="O304">
        <v>1043</v>
      </c>
    </row>
    <row r="305" spans="1:15" x14ac:dyDescent="0.35">
      <c r="A305" s="1">
        <v>46072</v>
      </c>
      <c r="B305" t="s">
        <v>339</v>
      </c>
      <c r="C305" t="s">
        <v>35</v>
      </c>
      <c r="D305" t="s">
        <v>36</v>
      </c>
      <c r="E305">
        <v>23.35</v>
      </c>
      <c r="F305" t="s">
        <v>337</v>
      </c>
      <c r="G305">
        <v>23.35</v>
      </c>
      <c r="H305">
        <v>2026</v>
      </c>
      <c r="I305">
        <v>2</v>
      </c>
      <c r="J305" t="s">
        <v>19</v>
      </c>
      <c r="K305" s="1">
        <v>46072</v>
      </c>
      <c r="L305" t="s">
        <v>23</v>
      </c>
      <c r="M305" t="s">
        <v>39</v>
      </c>
      <c r="N305" t="b">
        <v>1</v>
      </c>
      <c r="O305">
        <v>984</v>
      </c>
    </row>
    <row r="306" spans="1:15" x14ac:dyDescent="0.35">
      <c r="A306" s="1">
        <v>45983</v>
      </c>
      <c r="B306" t="s">
        <v>340</v>
      </c>
      <c r="C306" t="s">
        <v>158</v>
      </c>
      <c r="D306" t="s">
        <v>36</v>
      </c>
      <c r="E306">
        <v>10.84</v>
      </c>
      <c r="F306" t="s">
        <v>341</v>
      </c>
      <c r="G306">
        <v>10.84</v>
      </c>
      <c r="H306">
        <v>2025</v>
      </c>
      <c r="I306">
        <v>11</v>
      </c>
      <c r="J306" t="s">
        <v>68</v>
      </c>
      <c r="K306" s="1">
        <v>45983</v>
      </c>
      <c r="L306" t="s">
        <v>20</v>
      </c>
      <c r="M306" t="s">
        <v>39</v>
      </c>
      <c r="N306" t="b">
        <v>0</v>
      </c>
      <c r="O306">
        <v>414</v>
      </c>
    </row>
    <row r="307" spans="1:15" x14ac:dyDescent="0.35">
      <c r="A307" s="1">
        <v>45982</v>
      </c>
      <c r="B307" t="s">
        <v>342</v>
      </c>
      <c r="C307" t="s">
        <v>168</v>
      </c>
      <c r="D307" t="s">
        <v>36</v>
      </c>
      <c r="E307">
        <v>8.4</v>
      </c>
      <c r="F307" t="s">
        <v>343</v>
      </c>
      <c r="G307">
        <v>8.4</v>
      </c>
      <c r="H307">
        <v>2025</v>
      </c>
      <c r="I307">
        <v>11</v>
      </c>
      <c r="J307" t="s">
        <v>68</v>
      </c>
      <c r="K307" s="1">
        <v>45982</v>
      </c>
      <c r="L307" t="s">
        <v>31</v>
      </c>
      <c r="M307" t="s">
        <v>39</v>
      </c>
      <c r="N307" t="b">
        <v>0</v>
      </c>
      <c r="O307">
        <v>415</v>
      </c>
    </row>
    <row r="308" spans="1:15" x14ac:dyDescent="0.35">
      <c r="A308" s="1">
        <v>45976</v>
      </c>
      <c r="B308" t="s">
        <v>288</v>
      </c>
      <c r="C308" t="s">
        <v>158</v>
      </c>
      <c r="D308" t="s">
        <v>36</v>
      </c>
      <c r="E308">
        <v>20</v>
      </c>
      <c r="F308" t="s">
        <v>289</v>
      </c>
      <c r="G308">
        <v>20</v>
      </c>
      <c r="H308">
        <v>2025</v>
      </c>
      <c r="I308">
        <v>11</v>
      </c>
      <c r="J308" t="s">
        <v>68</v>
      </c>
      <c r="K308" s="1">
        <v>45976</v>
      </c>
      <c r="L308" t="s">
        <v>20</v>
      </c>
      <c r="M308" t="s">
        <v>39</v>
      </c>
      <c r="N308" t="b">
        <v>0</v>
      </c>
      <c r="O308">
        <v>417</v>
      </c>
    </row>
    <row r="309" spans="1:15" x14ac:dyDescent="0.35">
      <c r="A309" s="1">
        <v>45965</v>
      </c>
      <c r="B309" t="s">
        <v>344</v>
      </c>
      <c r="C309" t="s">
        <v>158</v>
      </c>
      <c r="D309" t="s">
        <v>36</v>
      </c>
      <c r="E309">
        <v>45</v>
      </c>
      <c r="F309" t="s">
        <v>345</v>
      </c>
      <c r="G309">
        <v>45</v>
      </c>
      <c r="H309">
        <v>2025</v>
      </c>
      <c r="I309">
        <v>11</v>
      </c>
      <c r="J309" t="s">
        <v>68</v>
      </c>
      <c r="K309" s="1">
        <v>45965</v>
      </c>
      <c r="L309" t="s">
        <v>50</v>
      </c>
      <c r="M309" t="s">
        <v>39</v>
      </c>
      <c r="N309" t="b">
        <v>0</v>
      </c>
      <c r="O309">
        <v>418</v>
      </c>
    </row>
    <row r="310" spans="1:15" x14ac:dyDescent="0.35">
      <c r="A310" s="1">
        <v>45964</v>
      </c>
      <c r="B310" t="s">
        <v>346</v>
      </c>
      <c r="C310" t="s">
        <v>158</v>
      </c>
      <c r="D310" t="s">
        <v>36</v>
      </c>
      <c r="E310">
        <v>40</v>
      </c>
      <c r="F310" t="s">
        <v>347</v>
      </c>
      <c r="G310">
        <v>40</v>
      </c>
      <c r="H310">
        <v>2025</v>
      </c>
      <c r="I310">
        <v>11</v>
      </c>
      <c r="J310" t="s">
        <v>68</v>
      </c>
      <c r="K310" s="1">
        <v>45964</v>
      </c>
      <c r="L310" t="s">
        <v>38</v>
      </c>
      <c r="M310" t="s">
        <v>39</v>
      </c>
      <c r="N310" t="b">
        <v>0</v>
      </c>
      <c r="O310">
        <v>419</v>
      </c>
    </row>
    <row r="311" spans="1:15" x14ac:dyDescent="0.35">
      <c r="A311" s="1">
        <v>45956</v>
      </c>
      <c r="B311" t="s">
        <v>348</v>
      </c>
      <c r="C311" t="s">
        <v>168</v>
      </c>
      <c r="D311" t="s">
        <v>36</v>
      </c>
      <c r="E311">
        <v>53.88</v>
      </c>
      <c r="F311" t="s">
        <v>176</v>
      </c>
      <c r="G311">
        <v>53.88</v>
      </c>
      <c r="H311">
        <v>2025</v>
      </c>
      <c r="I311">
        <v>10</v>
      </c>
      <c r="J311" t="s">
        <v>57</v>
      </c>
      <c r="K311" s="1">
        <v>45956</v>
      </c>
      <c r="L311" t="s">
        <v>41</v>
      </c>
      <c r="M311" t="s">
        <v>39</v>
      </c>
      <c r="N311" t="b">
        <v>0</v>
      </c>
      <c r="O311">
        <v>420</v>
      </c>
    </row>
    <row r="312" spans="1:15" x14ac:dyDescent="0.35">
      <c r="A312" s="1">
        <v>45973</v>
      </c>
      <c r="B312" t="s">
        <v>349</v>
      </c>
      <c r="C312" t="s">
        <v>350</v>
      </c>
      <c r="D312" t="s">
        <v>36</v>
      </c>
      <c r="E312">
        <v>469.25</v>
      </c>
      <c r="F312" t="s">
        <v>351</v>
      </c>
      <c r="G312">
        <v>469.25</v>
      </c>
      <c r="H312">
        <v>2025</v>
      </c>
      <c r="I312">
        <v>11</v>
      </c>
      <c r="J312" t="s">
        <v>68</v>
      </c>
      <c r="K312" s="1">
        <v>45973</v>
      </c>
      <c r="L312" t="s">
        <v>58</v>
      </c>
      <c r="M312" t="s">
        <v>39</v>
      </c>
      <c r="N312" t="b">
        <v>0</v>
      </c>
      <c r="O312">
        <v>422</v>
      </c>
    </row>
    <row r="313" spans="1:15" x14ac:dyDescent="0.35">
      <c r="A313" s="1">
        <v>45982</v>
      </c>
      <c r="B313" t="s">
        <v>352</v>
      </c>
      <c r="C313" t="s">
        <v>168</v>
      </c>
      <c r="D313" t="s">
        <v>36</v>
      </c>
      <c r="E313">
        <v>43.89</v>
      </c>
      <c r="F313" t="s">
        <v>353</v>
      </c>
      <c r="G313">
        <v>43.89</v>
      </c>
      <c r="H313">
        <v>2025</v>
      </c>
      <c r="I313">
        <v>11</v>
      </c>
      <c r="J313" t="s">
        <v>68</v>
      </c>
      <c r="K313" s="1">
        <v>45982</v>
      </c>
      <c r="L313" t="s">
        <v>31</v>
      </c>
      <c r="M313" t="s">
        <v>39</v>
      </c>
      <c r="N313" t="b">
        <v>0</v>
      </c>
      <c r="O313">
        <v>425</v>
      </c>
    </row>
    <row r="314" spans="1:15" x14ac:dyDescent="0.35">
      <c r="A314" s="1">
        <v>45946</v>
      </c>
      <c r="B314" t="s">
        <v>288</v>
      </c>
      <c r="C314" t="s">
        <v>158</v>
      </c>
      <c r="D314" t="s">
        <v>36</v>
      </c>
      <c r="E314">
        <v>20</v>
      </c>
      <c r="F314" t="s">
        <v>289</v>
      </c>
      <c r="G314">
        <v>20</v>
      </c>
      <c r="H314">
        <v>2025</v>
      </c>
      <c r="I314">
        <v>10</v>
      </c>
      <c r="J314" t="s">
        <v>57</v>
      </c>
      <c r="K314" s="1">
        <v>45946</v>
      </c>
      <c r="L314" t="s">
        <v>23</v>
      </c>
      <c r="M314" t="s">
        <v>39</v>
      </c>
      <c r="N314" t="b">
        <v>0</v>
      </c>
      <c r="O314">
        <v>426</v>
      </c>
    </row>
    <row r="315" spans="1:15" x14ac:dyDescent="0.35">
      <c r="A315" s="1">
        <v>45946</v>
      </c>
      <c r="B315" t="s">
        <v>354</v>
      </c>
      <c r="C315" t="s">
        <v>158</v>
      </c>
      <c r="D315" t="s">
        <v>36</v>
      </c>
      <c r="E315">
        <v>20</v>
      </c>
      <c r="F315" t="s">
        <v>355</v>
      </c>
      <c r="G315">
        <v>20</v>
      </c>
      <c r="H315">
        <v>2025</v>
      </c>
      <c r="I315">
        <v>10</v>
      </c>
      <c r="J315" t="s">
        <v>57</v>
      </c>
      <c r="K315" s="1">
        <v>45946</v>
      </c>
      <c r="L315" t="s">
        <v>23</v>
      </c>
      <c r="M315" t="s">
        <v>39</v>
      </c>
      <c r="N315" t="b">
        <v>0</v>
      </c>
      <c r="O315">
        <v>427</v>
      </c>
    </row>
    <row r="316" spans="1:15" x14ac:dyDescent="0.35">
      <c r="A316" s="1">
        <v>45945</v>
      </c>
      <c r="B316" t="s">
        <v>356</v>
      </c>
      <c r="C316" t="s">
        <v>168</v>
      </c>
      <c r="D316" t="s">
        <v>36</v>
      </c>
      <c r="E316">
        <v>52.92</v>
      </c>
      <c r="F316" t="s">
        <v>323</v>
      </c>
      <c r="G316">
        <v>52.92</v>
      </c>
      <c r="H316">
        <v>2025</v>
      </c>
      <c r="I316">
        <v>10</v>
      </c>
      <c r="J316" t="s">
        <v>57</v>
      </c>
      <c r="K316" s="1">
        <v>45945</v>
      </c>
      <c r="L316" t="s">
        <v>58</v>
      </c>
      <c r="M316" t="s">
        <v>39</v>
      </c>
      <c r="N316" t="b">
        <v>0</v>
      </c>
      <c r="O316">
        <v>428</v>
      </c>
    </row>
    <row r="317" spans="1:15" x14ac:dyDescent="0.35">
      <c r="A317" s="1">
        <v>45941</v>
      </c>
      <c r="B317" t="s">
        <v>357</v>
      </c>
      <c r="C317" t="s">
        <v>168</v>
      </c>
      <c r="D317" t="s">
        <v>36</v>
      </c>
      <c r="E317">
        <v>38.5</v>
      </c>
      <c r="F317" t="s">
        <v>358</v>
      </c>
      <c r="G317">
        <v>38.5</v>
      </c>
      <c r="H317">
        <v>2025</v>
      </c>
      <c r="I317">
        <v>10</v>
      </c>
      <c r="J317" t="s">
        <v>57</v>
      </c>
      <c r="K317" s="1">
        <v>45941</v>
      </c>
      <c r="L317" t="s">
        <v>20</v>
      </c>
      <c r="M317" t="s">
        <v>39</v>
      </c>
      <c r="N317" t="b">
        <v>0</v>
      </c>
      <c r="O317">
        <v>429</v>
      </c>
    </row>
    <row r="318" spans="1:15" x14ac:dyDescent="0.35">
      <c r="A318" s="1">
        <v>45937</v>
      </c>
      <c r="B318" t="s">
        <v>359</v>
      </c>
      <c r="C318" t="s">
        <v>168</v>
      </c>
      <c r="D318" t="s">
        <v>36</v>
      </c>
      <c r="E318">
        <v>41.66</v>
      </c>
      <c r="F318" t="s">
        <v>323</v>
      </c>
      <c r="G318">
        <v>41.66</v>
      </c>
      <c r="H318">
        <v>2025</v>
      </c>
      <c r="I318">
        <v>10</v>
      </c>
      <c r="J318" t="s">
        <v>57</v>
      </c>
      <c r="K318" s="1">
        <v>45937</v>
      </c>
      <c r="L318" t="s">
        <v>50</v>
      </c>
      <c r="M318" t="s">
        <v>39</v>
      </c>
      <c r="N318" t="b">
        <v>0</v>
      </c>
      <c r="O318">
        <v>430</v>
      </c>
    </row>
    <row r="319" spans="1:15" x14ac:dyDescent="0.35">
      <c r="A319" s="1">
        <v>45938</v>
      </c>
      <c r="B319" t="s">
        <v>360</v>
      </c>
      <c r="C319" t="s">
        <v>168</v>
      </c>
      <c r="D319" t="s">
        <v>36</v>
      </c>
      <c r="E319">
        <v>11.97</v>
      </c>
      <c r="F319" t="s">
        <v>169</v>
      </c>
      <c r="G319">
        <v>11.97</v>
      </c>
      <c r="H319">
        <v>2025</v>
      </c>
      <c r="I319">
        <v>10</v>
      </c>
      <c r="J319" t="s">
        <v>57</v>
      </c>
      <c r="K319" s="1">
        <v>45938</v>
      </c>
      <c r="L319" t="s">
        <v>58</v>
      </c>
      <c r="M319" t="s">
        <v>39</v>
      </c>
      <c r="N319" t="b">
        <v>0</v>
      </c>
      <c r="O319">
        <v>431</v>
      </c>
    </row>
    <row r="320" spans="1:15" x14ac:dyDescent="0.35">
      <c r="A320" s="1">
        <v>45928</v>
      </c>
      <c r="B320" t="s">
        <v>288</v>
      </c>
      <c r="C320" t="s">
        <v>158</v>
      </c>
      <c r="D320" t="s">
        <v>36</v>
      </c>
      <c r="E320">
        <v>20</v>
      </c>
      <c r="F320" t="s">
        <v>289</v>
      </c>
      <c r="G320">
        <v>20</v>
      </c>
      <c r="H320">
        <v>2025</v>
      </c>
      <c r="I320">
        <v>9</v>
      </c>
      <c r="J320" t="s">
        <v>30</v>
      </c>
      <c r="K320" s="1">
        <v>45928</v>
      </c>
      <c r="L320" t="s">
        <v>41</v>
      </c>
      <c r="M320" t="s">
        <v>39</v>
      </c>
      <c r="N320" t="b">
        <v>0</v>
      </c>
      <c r="O320">
        <v>433</v>
      </c>
    </row>
    <row r="321" spans="1:15" x14ac:dyDescent="0.35">
      <c r="A321" s="1">
        <v>45924</v>
      </c>
      <c r="B321" t="s">
        <v>359</v>
      </c>
      <c r="C321" t="s">
        <v>168</v>
      </c>
      <c r="D321" t="s">
        <v>36</v>
      </c>
      <c r="E321">
        <v>51.27</v>
      </c>
      <c r="F321" t="s">
        <v>323</v>
      </c>
      <c r="G321">
        <v>51.27</v>
      </c>
      <c r="H321">
        <v>2025</v>
      </c>
      <c r="I321">
        <v>9</v>
      </c>
      <c r="J321" t="s">
        <v>30</v>
      </c>
      <c r="K321" s="1">
        <v>45924</v>
      </c>
      <c r="L321" t="s">
        <v>58</v>
      </c>
      <c r="M321" t="s">
        <v>39</v>
      </c>
      <c r="N321" t="b">
        <v>0</v>
      </c>
      <c r="O321">
        <v>434</v>
      </c>
    </row>
    <row r="322" spans="1:15" x14ac:dyDescent="0.35">
      <c r="A322" s="1">
        <v>45919</v>
      </c>
      <c r="B322" t="s">
        <v>359</v>
      </c>
      <c r="C322" t="s">
        <v>168</v>
      </c>
      <c r="D322" t="s">
        <v>36</v>
      </c>
      <c r="E322">
        <v>54.72</v>
      </c>
      <c r="F322" t="s">
        <v>323</v>
      </c>
      <c r="G322">
        <v>54.72</v>
      </c>
      <c r="H322">
        <v>2025</v>
      </c>
      <c r="I322">
        <v>9</v>
      </c>
      <c r="J322" t="s">
        <v>30</v>
      </c>
      <c r="K322" s="1">
        <v>45919</v>
      </c>
      <c r="L322" t="s">
        <v>31</v>
      </c>
      <c r="M322" t="s">
        <v>39</v>
      </c>
      <c r="N322" t="b">
        <v>0</v>
      </c>
      <c r="O322">
        <v>435</v>
      </c>
    </row>
    <row r="323" spans="1:15" x14ac:dyDescent="0.35">
      <c r="A323" s="1">
        <v>45911</v>
      </c>
      <c r="B323" t="s">
        <v>356</v>
      </c>
      <c r="C323" t="s">
        <v>168</v>
      </c>
      <c r="D323" t="s">
        <v>36</v>
      </c>
      <c r="E323">
        <v>59.27</v>
      </c>
      <c r="F323" t="s">
        <v>323</v>
      </c>
      <c r="G323">
        <v>59.27</v>
      </c>
      <c r="H323">
        <v>2025</v>
      </c>
      <c r="I323">
        <v>9</v>
      </c>
      <c r="J323" t="s">
        <v>30</v>
      </c>
      <c r="K323" s="1">
        <v>45911</v>
      </c>
      <c r="L323" t="s">
        <v>23</v>
      </c>
      <c r="M323" t="s">
        <v>39</v>
      </c>
      <c r="N323" t="b">
        <v>0</v>
      </c>
      <c r="O323">
        <v>436</v>
      </c>
    </row>
    <row r="324" spans="1:15" x14ac:dyDescent="0.35">
      <c r="A324" s="1">
        <v>45903</v>
      </c>
      <c r="B324" t="s">
        <v>361</v>
      </c>
      <c r="C324" t="s">
        <v>168</v>
      </c>
      <c r="D324" t="s">
        <v>36</v>
      </c>
      <c r="E324">
        <v>58.7</v>
      </c>
      <c r="F324" t="s">
        <v>343</v>
      </c>
      <c r="G324">
        <v>58.7</v>
      </c>
      <c r="H324">
        <v>2025</v>
      </c>
      <c r="I324">
        <v>9</v>
      </c>
      <c r="J324" t="s">
        <v>30</v>
      </c>
      <c r="K324" s="1">
        <v>45903</v>
      </c>
      <c r="L324" t="s">
        <v>58</v>
      </c>
      <c r="M324" t="s">
        <v>39</v>
      </c>
      <c r="N324" t="b">
        <v>0</v>
      </c>
      <c r="O324">
        <v>439</v>
      </c>
    </row>
    <row r="325" spans="1:15" x14ac:dyDescent="0.35">
      <c r="A325" s="1">
        <v>45899</v>
      </c>
      <c r="B325" t="s">
        <v>359</v>
      </c>
      <c r="C325" t="s">
        <v>168</v>
      </c>
      <c r="D325" t="s">
        <v>36</v>
      </c>
      <c r="E325">
        <v>56.23</v>
      </c>
      <c r="F325" t="s">
        <v>323</v>
      </c>
      <c r="G325">
        <v>56.23</v>
      </c>
      <c r="H325">
        <v>2025</v>
      </c>
      <c r="I325">
        <v>8</v>
      </c>
      <c r="J325" t="s">
        <v>71</v>
      </c>
      <c r="K325" s="1">
        <v>45899</v>
      </c>
      <c r="L325" t="s">
        <v>20</v>
      </c>
      <c r="M325" t="s">
        <v>39</v>
      </c>
      <c r="N325" t="b">
        <v>0</v>
      </c>
      <c r="O325">
        <v>440</v>
      </c>
    </row>
    <row r="326" spans="1:15" x14ac:dyDescent="0.35">
      <c r="A326" s="1">
        <v>46098</v>
      </c>
      <c r="B326" t="s">
        <v>362</v>
      </c>
      <c r="C326" t="s">
        <v>168</v>
      </c>
      <c r="D326" t="s">
        <v>36</v>
      </c>
      <c r="E326">
        <v>50.4</v>
      </c>
      <c r="F326" t="s">
        <v>287</v>
      </c>
      <c r="G326">
        <v>50.4</v>
      </c>
      <c r="H326">
        <v>2026</v>
      </c>
      <c r="I326">
        <v>3</v>
      </c>
      <c r="J326" t="s">
        <v>48</v>
      </c>
      <c r="K326" s="1">
        <v>46098</v>
      </c>
      <c r="L326" t="s">
        <v>50</v>
      </c>
      <c r="M326" t="s">
        <v>39</v>
      </c>
      <c r="N326" t="b">
        <v>0</v>
      </c>
      <c r="O326">
        <v>398</v>
      </c>
    </row>
    <row r="327" spans="1:15" x14ac:dyDescent="0.35">
      <c r="A327" s="1">
        <v>45891</v>
      </c>
      <c r="B327" t="s">
        <v>362</v>
      </c>
      <c r="C327" t="s">
        <v>168</v>
      </c>
      <c r="D327" t="s">
        <v>36</v>
      </c>
      <c r="E327">
        <v>39.69</v>
      </c>
      <c r="F327" t="s">
        <v>287</v>
      </c>
      <c r="G327">
        <v>39.69</v>
      </c>
      <c r="H327">
        <v>2025</v>
      </c>
      <c r="I327">
        <v>8</v>
      </c>
      <c r="J327" t="s">
        <v>71</v>
      </c>
      <c r="K327" s="1">
        <v>45891</v>
      </c>
      <c r="L327" t="s">
        <v>31</v>
      </c>
      <c r="M327" t="s">
        <v>39</v>
      </c>
      <c r="N327" t="b">
        <v>0</v>
      </c>
      <c r="O327">
        <v>450</v>
      </c>
    </row>
    <row r="328" spans="1:15" x14ac:dyDescent="0.35">
      <c r="A328" s="1">
        <v>45952</v>
      </c>
      <c r="B328" t="s">
        <v>363</v>
      </c>
      <c r="C328" t="s">
        <v>158</v>
      </c>
      <c r="D328" t="s">
        <v>36</v>
      </c>
      <c r="E328">
        <v>15</v>
      </c>
      <c r="F328" t="s">
        <v>364</v>
      </c>
      <c r="G328">
        <v>15</v>
      </c>
      <c r="H328">
        <v>2025</v>
      </c>
      <c r="I328">
        <v>10</v>
      </c>
      <c r="J328" t="s">
        <v>57</v>
      </c>
      <c r="K328" s="1">
        <v>45952</v>
      </c>
      <c r="L328" t="s">
        <v>58</v>
      </c>
      <c r="M328" t="s">
        <v>39</v>
      </c>
      <c r="N328" t="b">
        <v>0</v>
      </c>
      <c r="O328">
        <v>445</v>
      </c>
    </row>
    <row r="329" spans="1:15" x14ac:dyDescent="0.35">
      <c r="A329" s="1">
        <v>45895</v>
      </c>
      <c r="B329" t="s">
        <v>365</v>
      </c>
      <c r="C329" t="s">
        <v>168</v>
      </c>
      <c r="D329" t="s">
        <v>36</v>
      </c>
      <c r="E329">
        <v>44.11</v>
      </c>
      <c r="F329" t="s">
        <v>365</v>
      </c>
      <c r="G329">
        <v>44.11</v>
      </c>
      <c r="H329">
        <v>2025</v>
      </c>
      <c r="I329">
        <v>8</v>
      </c>
      <c r="J329" t="s">
        <v>71</v>
      </c>
      <c r="K329" s="1">
        <v>45895</v>
      </c>
      <c r="L329" t="s">
        <v>50</v>
      </c>
      <c r="M329" t="s">
        <v>39</v>
      </c>
      <c r="N329" t="b">
        <v>0</v>
      </c>
      <c r="O329">
        <v>448</v>
      </c>
    </row>
    <row r="330" spans="1:15" x14ac:dyDescent="0.35">
      <c r="A330" s="1">
        <v>45891</v>
      </c>
      <c r="B330" t="s">
        <v>359</v>
      </c>
      <c r="C330" t="s">
        <v>168</v>
      </c>
      <c r="D330" t="s">
        <v>36</v>
      </c>
      <c r="E330">
        <v>20</v>
      </c>
      <c r="F330" t="s">
        <v>323</v>
      </c>
      <c r="G330">
        <v>20</v>
      </c>
      <c r="H330">
        <v>2025</v>
      </c>
      <c r="I330">
        <v>8</v>
      </c>
      <c r="J330" t="s">
        <v>71</v>
      </c>
      <c r="K330" s="1">
        <v>45891</v>
      </c>
      <c r="L330" t="s">
        <v>31</v>
      </c>
      <c r="M330" t="s">
        <v>39</v>
      </c>
      <c r="N330" t="b">
        <v>0</v>
      </c>
      <c r="O330">
        <v>449</v>
      </c>
    </row>
    <row r="331" spans="1:15" x14ac:dyDescent="0.35">
      <c r="A331" s="1">
        <v>45887</v>
      </c>
      <c r="B331" t="s">
        <v>173</v>
      </c>
      <c r="C331" t="s">
        <v>158</v>
      </c>
      <c r="D331" t="s">
        <v>36</v>
      </c>
      <c r="E331">
        <v>20</v>
      </c>
      <c r="F331" t="s">
        <v>174</v>
      </c>
      <c r="G331">
        <v>20</v>
      </c>
      <c r="H331">
        <v>2025</v>
      </c>
      <c r="I331">
        <v>8</v>
      </c>
      <c r="J331" t="s">
        <v>71</v>
      </c>
      <c r="K331" s="1">
        <v>45887</v>
      </c>
      <c r="L331" t="s">
        <v>38</v>
      </c>
      <c r="M331" t="s">
        <v>39</v>
      </c>
      <c r="N331" t="b">
        <v>0</v>
      </c>
      <c r="O331">
        <v>462</v>
      </c>
    </row>
    <row r="332" spans="1:15" x14ac:dyDescent="0.35">
      <c r="A332" s="1">
        <v>46108</v>
      </c>
      <c r="B332" s="2" t="s">
        <v>366</v>
      </c>
      <c r="C332" t="s">
        <v>367</v>
      </c>
      <c r="D332" t="s">
        <v>368</v>
      </c>
      <c r="E332">
        <v>-107.54</v>
      </c>
      <c r="F332" t="s">
        <v>369</v>
      </c>
      <c r="G332">
        <v>107.54</v>
      </c>
      <c r="H332">
        <v>2026</v>
      </c>
      <c r="I332">
        <v>3</v>
      </c>
      <c r="J332" t="s">
        <v>48</v>
      </c>
      <c r="K332" s="1">
        <v>46108</v>
      </c>
      <c r="L332" t="s">
        <v>31</v>
      </c>
      <c r="M332" t="s">
        <v>21</v>
      </c>
      <c r="N332" t="b">
        <v>0</v>
      </c>
      <c r="O332">
        <v>508</v>
      </c>
    </row>
    <row r="333" spans="1:15" x14ac:dyDescent="0.35">
      <c r="A333" s="1">
        <v>46037</v>
      </c>
      <c r="B333" t="s">
        <v>349</v>
      </c>
      <c r="C333" t="s">
        <v>350</v>
      </c>
      <c r="D333" t="s">
        <v>36</v>
      </c>
      <c r="E333">
        <v>2120</v>
      </c>
      <c r="F333" t="s">
        <v>351</v>
      </c>
      <c r="G333">
        <v>2120</v>
      </c>
      <c r="H333">
        <v>2026</v>
      </c>
      <c r="I333">
        <v>1</v>
      </c>
      <c r="J333" t="s">
        <v>24</v>
      </c>
      <c r="K333" s="1">
        <v>46037</v>
      </c>
      <c r="L333" t="s">
        <v>23</v>
      </c>
      <c r="M333" t="s">
        <v>39</v>
      </c>
      <c r="N333" t="b">
        <v>0</v>
      </c>
      <c r="O333">
        <v>472</v>
      </c>
    </row>
    <row r="334" spans="1:15" x14ac:dyDescent="0.35">
      <c r="A334" s="1">
        <v>46017</v>
      </c>
      <c r="B334" t="s">
        <v>349</v>
      </c>
      <c r="C334" t="s">
        <v>350</v>
      </c>
      <c r="D334" t="s">
        <v>36</v>
      </c>
      <c r="E334">
        <v>1529.25</v>
      </c>
      <c r="F334" t="s">
        <v>351</v>
      </c>
      <c r="G334">
        <v>1529.25</v>
      </c>
      <c r="H334">
        <v>2025</v>
      </c>
      <c r="I334">
        <v>12</v>
      </c>
      <c r="J334" t="s">
        <v>66</v>
      </c>
      <c r="K334" s="1">
        <v>46017</v>
      </c>
      <c r="L334" t="s">
        <v>31</v>
      </c>
      <c r="M334" t="s">
        <v>39</v>
      </c>
      <c r="N334" t="b">
        <v>0</v>
      </c>
      <c r="O334">
        <v>473</v>
      </c>
    </row>
    <row r="335" spans="1:15" x14ac:dyDescent="0.35">
      <c r="A335" s="1">
        <v>46008</v>
      </c>
      <c r="B335" t="s">
        <v>370</v>
      </c>
      <c r="C335" t="s">
        <v>158</v>
      </c>
      <c r="D335" t="s">
        <v>36</v>
      </c>
      <c r="E335">
        <v>9.2100000000000009</v>
      </c>
      <c r="F335" t="s">
        <v>341</v>
      </c>
      <c r="G335">
        <v>9.2100000000000009</v>
      </c>
      <c r="H335">
        <v>2025</v>
      </c>
      <c r="I335">
        <v>12</v>
      </c>
      <c r="J335" t="s">
        <v>66</v>
      </c>
      <c r="K335" s="1">
        <v>46008</v>
      </c>
      <c r="L335" t="s">
        <v>58</v>
      </c>
      <c r="M335" t="s">
        <v>39</v>
      </c>
      <c r="N335" t="b">
        <v>0</v>
      </c>
      <c r="O335">
        <v>479</v>
      </c>
    </row>
    <row r="336" spans="1:15" x14ac:dyDescent="0.35">
      <c r="A336" s="1">
        <v>46006</v>
      </c>
      <c r="B336" t="s">
        <v>359</v>
      </c>
      <c r="C336" t="s">
        <v>168</v>
      </c>
      <c r="D336" t="s">
        <v>36</v>
      </c>
      <c r="E336">
        <v>41.01</v>
      </c>
      <c r="F336" t="s">
        <v>323</v>
      </c>
      <c r="G336">
        <v>41.01</v>
      </c>
      <c r="H336">
        <v>2025</v>
      </c>
      <c r="I336">
        <v>12</v>
      </c>
      <c r="J336" t="s">
        <v>66</v>
      </c>
      <c r="K336" s="1">
        <v>46006</v>
      </c>
      <c r="L336" t="s">
        <v>38</v>
      </c>
      <c r="M336" t="s">
        <v>39</v>
      </c>
      <c r="N336" t="b">
        <v>0</v>
      </c>
      <c r="O336">
        <v>481</v>
      </c>
    </row>
    <row r="337" spans="1:15" x14ac:dyDescent="0.35">
      <c r="A337" s="1">
        <v>46021</v>
      </c>
      <c r="B337" t="s">
        <v>371</v>
      </c>
      <c r="C337" t="s">
        <v>350</v>
      </c>
      <c r="D337" t="s">
        <v>36</v>
      </c>
      <c r="E337">
        <v>750</v>
      </c>
      <c r="F337" t="s">
        <v>372</v>
      </c>
      <c r="G337">
        <v>750</v>
      </c>
      <c r="H337">
        <v>2025</v>
      </c>
      <c r="I337">
        <v>12</v>
      </c>
      <c r="J337" t="s">
        <v>66</v>
      </c>
      <c r="K337" s="1">
        <v>46021</v>
      </c>
      <c r="L337" t="s">
        <v>50</v>
      </c>
      <c r="M337" t="s">
        <v>39</v>
      </c>
      <c r="N337" t="b">
        <v>0</v>
      </c>
      <c r="O337">
        <v>483</v>
      </c>
    </row>
    <row r="338" spans="1:15" x14ac:dyDescent="0.35">
      <c r="A338" s="1">
        <v>46074</v>
      </c>
      <c r="B338" t="s">
        <v>300</v>
      </c>
      <c r="C338" t="s">
        <v>16</v>
      </c>
      <c r="D338" t="s">
        <v>17</v>
      </c>
      <c r="E338">
        <v>-32.46</v>
      </c>
      <c r="F338" t="s">
        <v>301</v>
      </c>
      <c r="G338">
        <v>32.46</v>
      </c>
      <c r="H338">
        <v>2026</v>
      </c>
      <c r="I338">
        <v>2</v>
      </c>
      <c r="J338" t="s">
        <v>19</v>
      </c>
      <c r="K338" s="1">
        <v>46074</v>
      </c>
      <c r="L338" t="s">
        <v>20</v>
      </c>
      <c r="M338" t="s">
        <v>21</v>
      </c>
      <c r="N338" t="b">
        <v>1</v>
      </c>
      <c r="O338">
        <v>1076</v>
      </c>
    </row>
    <row r="339" spans="1:15" x14ac:dyDescent="0.35">
      <c r="A339" s="1">
        <v>46001</v>
      </c>
      <c r="B339" t="s">
        <v>373</v>
      </c>
      <c r="C339" t="s">
        <v>16</v>
      </c>
      <c r="D339" t="s">
        <v>36</v>
      </c>
      <c r="E339">
        <v>363.78</v>
      </c>
      <c r="F339" t="s">
        <v>374</v>
      </c>
      <c r="G339">
        <v>363.78</v>
      </c>
      <c r="H339">
        <v>2025</v>
      </c>
      <c r="I339">
        <v>12</v>
      </c>
      <c r="J339" t="s">
        <v>66</v>
      </c>
      <c r="K339" s="1">
        <v>46001</v>
      </c>
      <c r="L339" t="s">
        <v>58</v>
      </c>
      <c r="M339" t="s">
        <v>39</v>
      </c>
      <c r="N339" t="b">
        <v>1</v>
      </c>
      <c r="O339">
        <v>1079</v>
      </c>
    </row>
    <row r="340" spans="1:15" x14ac:dyDescent="0.35">
      <c r="A340" s="1">
        <v>45997</v>
      </c>
      <c r="B340" t="s">
        <v>375</v>
      </c>
      <c r="C340" t="s">
        <v>16</v>
      </c>
      <c r="D340" t="s">
        <v>36</v>
      </c>
      <c r="E340">
        <v>45.96</v>
      </c>
      <c r="F340" t="s">
        <v>376</v>
      </c>
      <c r="G340">
        <v>45.96</v>
      </c>
      <c r="H340">
        <v>2025</v>
      </c>
      <c r="I340">
        <v>12</v>
      </c>
      <c r="J340" t="s">
        <v>66</v>
      </c>
      <c r="K340" s="1">
        <v>45997</v>
      </c>
      <c r="L340" t="s">
        <v>20</v>
      </c>
      <c r="M340" t="s">
        <v>39</v>
      </c>
      <c r="N340" t="b">
        <v>1</v>
      </c>
      <c r="O340">
        <v>1081</v>
      </c>
    </row>
    <row r="341" spans="1:15" x14ac:dyDescent="0.35">
      <c r="A341" s="1">
        <v>46004</v>
      </c>
      <c r="B341" t="s">
        <v>84</v>
      </c>
      <c r="C341" t="s">
        <v>16</v>
      </c>
      <c r="D341" t="s">
        <v>36</v>
      </c>
      <c r="E341">
        <v>32.200000000000003</v>
      </c>
      <c r="F341" t="s">
        <v>84</v>
      </c>
      <c r="G341">
        <v>32.200000000000003</v>
      </c>
      <c r="H341">
        <v>2025</v>
      </c>
      <c r="I341">
        <v>12</v>
      </c>
      <c r="J341" t="s">
        <v>66</v>
      </c>
      <c r="K341" s="1">
        <v>46004</v>
      </c>
      <c r="L341" t="s">
        <v>20</v>
      </c>
      <c r="M341" t="s">
        <v>39</v>
      </c>
      <c r="N341" t="b">
        <v>1</v>
      </c>
      <c r="O341">
        <v>1082</v>
      </c>
    </row>
    <row r="342" spans="1:15" x14ac:dyDescent="0.35">
      <c r="A342" s="1">
        <v>45993</v>
      </c>
      <c r="B342" t="s">
        <v>377</v>
      </c>
      <c r="C342" t="s">
        <v>16</v>
      </c>
      <c r="D342" t="s">
        <v>36</v>
      </c>
      <c r="E342">
        <v>9.74</v>
      </c>
      <c r="F342" t="s">
        <v>378</v>
      </c>
      <c r="G342">
        <v>9.74</v>
      </c>
      <c r="H342">
        <v>2025</v>
      </c>
      <c r="I342">
        <v>12</v>
      </c>
      <c r="J342" t="s">
        <v>66</v>
      </c>
      <c r="K342" s="1">
        <v>45993</v>
      </c>
      <c r="L342" t="s">
        <v>50</v>
      </c>
      <c r="M342" t="s">
        <v>39</v>
      </c>
      <c r="N342" t="b">
        <v>1</v>
      </c>
      <c r="O342">
        <v>1083</v>
      </c>
    </row>
    <row r="343" spans="1:15" x14ac:dyDescent="0.35">
      <c r="A343" s="1">
        <v>45987</v>
      </c>
      <c r="B343" t="s">
        <v>265</v>
      </c>
      <c r="C343" t="s">
        <v>16</v>
      </c>
      <c r="D343" t="s">
        <v>17</v>
      </c>
      <c r="E343">
        <v>-47.74</v>
      </c>
      <c r="F343" t="s">
        <v>265</v>
      </c>
      <c r="G343">
        <v>47.74</v>
      </c>
      <c r="H343">
        <v>2025</v>
      </c>
      <c r="I343">
        <v>11</v>
      </c>
      <c r="J343" t="s">
        <v>68</v>
      </c>
      <c r="K343" s="1">
        <v>45987</v>
      </c>
      <c r="L343" t="s">
        <v>58</v>
      </c>
      <c r="M343" t="s">
        <v>21</v>
      </c>
      <c r="N343" t="b">
        <v>1</v>
      </c>
      <c r="O343">
        <v>1084</v>
      </c>
    </row>
    <row r="344" spans="1:15" x14ac:dyDescent="0.35">
      <c r="A344" s="1">
        <v>45986</v>
      </c>
      <c r="B344" t="s">
        <v>265</v>
      </c>
      <c r="C344" t="s">
        <v>16</v>
      </c>
      <c r="D344" t="s">
        <v>36</v>
      </c>
      <c r="E344">
        <v>62.06</v>
      </c>
      <c r="F344" t="s">
        <v>265</v>
      </c>
      <c r="G344">
        <v>62.06</v>
      </c>
      <c r="H344">
        <v>2025</v>
      </c>
      <c r="I344">
        <v>11</v>
      </c>
      <c r="J344" t="s">
        <v>68</v>
      </c>
      <c r="K344" s="1">
        <v>45986</v>
      </c>
      <c r="L344" t="s">
        <v>50</v>
      </c>
      <c r="M344" t="s">
        <v>39</v>
      </c>
      <c r="N344" t="b">
        <v>1</v>
      </c>
      <c r="O344">
        <v>1085</v>
      </c>
    </row>
    <row r="345" spans="1:15" x14ac:dyDescent="0.35">
      <c r="A345" s="1">
        <v>45870</v>
      </c>
      <c r="B345" t="s">
        <v>288</v>
      </c>
      <c r="C345" t="s">
        <v>158</v>
      </c>
      <c r="D345" t="s">
        <v>36</v>
      </c>
      <c r="E345">
        <v>20</v>
      </c>
      <c r="F345" t="s">
        <v>289</v>
      </c>
      <c r="G345">
        <v>20</v>
      </c>
      <c r="H345">
        <v>2025</v>
      </c>
      <c r="I345">
        <v>8</v>
      </c>
      <c r="J345" t="s">
        <v>71</v>
      </c>
      <c r="K345" s="1">
        <v>45870</v>
      </c>
      <c r="L345" t="s">
        <v>31</v>
      </c>
      <c r="M345" t="s">
        <v>39</v>
      </c>
      <c r="N345" t="b">
        <v>0</v>
      </c>
      <c r="O345">
        <v>491</v>
      </c>
    </row>
    <row r="346" spans="1:15" x14ac:dyDescent="0.35">
      <c r="A346" s="1">
        <v>45867</v>
      </c>
      <c r="B346" t="s">
        <v>379</v>
      </c>
      <c r="C346" t="s">
        <v>168</v>
      </c>
      <c r="D346" t="s">
        <v>36</v>
      </c>
      <c r="E346">
        <v>45.56</v>
      </c>
      <c r="F346" t="s">
        <v>380</v>
      </c>
      <c r="G346">
        <v>45.56</v>
      </c>
      <c r="H346">
        <v>2025</v>
      </c>
      <c r="I346">
        <v>7</v>
      </c>
      <c r="J346" t="s">
        <v>73</v>
      </c>
      <c r="K346" s="1">
        <v>45867</v>
      </c>
      <c r="L346" t="s">
        <v>50</v>
      </c>
      <c r="M346" t="s">
        <v>39</v>
      </c>
      <c r="N346" t="b">
        <v>0</v>
      </c>
      <c r="O346">
        <v>492</v>
      </c>
    </row>
    <row r="347" spans="1:15" x14ac:dyDescent="0.35">
      <c r="A347" s="1">
        <v>45854</v>
      </c>
      <c r="B347" t="s">
        <v>352</v>
      </c>
      <c r="C347" t="s">
        <v>168</v>
      </c>
      <c r="D347" t="s">
        <v>36</v>
      </c>
      <c r="E347">
        <v>53.09</v>
      </c>
      <c r="F347" t="s">
        <v>353</v>
      </c>
      <c r="G347">
        <v>53.09</v>
      </c>
      <c r="H347">
        <v>2025</v>
      </c>
      <c r="I347">
        <v>7</v>
      </c>
      <c r="J347" t="s">
        <v>73</v>
      </c>
      <c r="K347" s="1">
        <v>45854</v>
      </c>
      <c r="L347" t="s">
        <v>58</v>
      </c>
      <c r="M347" t="s">
        <v>39</v>
      </c>
      <c r="N347" t="b">
        <v>0</v>
      </c>
      <c r="O347">
        <v>497</v>
      </c>
    </row>
    <row r="348" spans="1:15" x14ac:dyDescent="0.35">
      <c r="A348" s="1">
        <v>45856</v>
      </c>
      <c r="B348" t="s">
        <v>363</v>
      </c>
      <c r="C348" t="s">
        <v>158</v>
      </c>
      <c r="D348" t="s">
        <v>36</v>
      </c>
      <c r="E348">
        <v>15</v>
      </c>
      <c r="F348" t="s">
        <v>364</v>
      </c>
      <c r="G348">
        <v>15</v>
      </c>
      <c r="H348">
        <v>2025</v>
      </c>
      <c r="I348">
        <v>7</v>
      </c>
      <c r="J348" t="s">
        <v>73</v>
      </c>
      <c r="K348" s="1">
        <v>45856</v>
      </c>
      <c r="L348" t="s">
        <v>31</v>
      </c>
      <c r="M348" t="s">
        <v>39</v>
      </c>
      <c r="N348" t="b">
        <v>0</v>
      </c>
      <c r="O348">
        <v>498</v>
      </c>
    </row>
    <row r="349" spans="1:15" x14ac:dyDescent="0.35">
      <c r="A349" s="1">
        <v>45826</v>
      </c>
      <c r="B349" t="s">
        <v>381</v>
      </c>
      <c r="C349" t="s">
        <v>168</v>
      </c>
      <c r="D349" t="s">
        <v>36</v>
      </c>
      <c r="E349">
        <v>22.17</v>
      </c>
      <c r="F349" t="s">
        <v>382</v>
      </c>
      <c r="G349">
        <v>22.17</v>
      </c>
      <c r="H349">
        <v>2025</v>
      </c>
      <c r="I349">
        <v>6</v>
      </c>
      <c r="J349" t="s">
        <v>33</v>
      </c>
      <c r="K349" s="1">
        <v>45826</v>
      </c>
      <c r="L349" t="s">
        <v>58</v>
      </c>
      <c r="M349" t="s">
        <v>39</v>
      </c>
      <c r="N349" t="b">
        <v>0</v>
      </c>
      <c r="O349">
        <v>500</v>
      </c>
    </row>
    <row r="350" spans="1:15" x14ac:dyDescent="0.35">
      <c r="A350" s="1">
        <v>45955</v>
      </c>
      <c r="B350" t="s">
        <v>207</v>
      </c>
      <c r="C350" t="s">
        <v>16</v>
      </c>
      <c r="D350" t="s">
        <v>36</v>
      </c>
      <c r="E350">
        <v>28.12</v>
      </c>
      <c r="F350" t="s">
        <v>207</v>
      </c>
      <c r="G350">
        <v>28.12</v>
      </c>
      <c r="H350">
        <v>2025</v>
      </c>
      <c r="I350">
        <v>10</v>
      </c>
      <c r="J350" t="s">
        <v>57</v>
      </c>
      <c r="K350" s="1">
        <v>45955</v>
      </c>
      <c r="L350" t="s">
        <v>20</v>
      </c>
      <c r="M350" t="s">
        <v>39</v>
      </c>
      <c r="N350" t="b">
        <v>1</v>
      </c>
      <c r="O350">
        <v>1090</v>
      </c>
    </row>
    <row r="351" spans="1:15" x14ac:dyDescent="0.35">
      <c r="A351" s="1">
        <v>45826</v>
      </c>
      <c r="B351" t="s">
        <v>383</v>
      </c>
      <c r="C351" t="s">
        <v>168</v>
      </c>
      <c r="D351" t="s">
        <v>36</v>
      </c>
      <c r="E351">
        <v>22.94</v>
      </c>
      <c r="F351" t="s">
        <v>384</v>
      </c>
      <c r="G351">
        <v>22.94</v>
      </c>
      <c r="H351">
        <v>2025</v>
      </c>
      <c r="I351">
        <v>6</v>
      </c>
      <c r="J351" t="s">
        <v>33</v>
      </c>
      <c r="K351" s="1">
        <v>45826</v>
      </c>
      <c r="L351" t="s">
        <v>58</v>
      </c>
      <c r="M351" t="s">
        <v>39</v>
      </c>
      <c r="N351" t="b">
        <v>0</v>
      </c>
      <c r="O351">
        <v>501</v>
      </c>
    </row>
    <row r="352" spans="1:15" x14ac:dyDescent="0.35">
      <c r="A352" s="1">
        <v>45825</v>
      </c>
      <c r="B352" t="s">
        <v>288</v>
      </c>
      <c r="C352" t="s">
        <v>158</v>
      </c>
      <c r="D352" t="s">
        <v>36</v>
      </c>
      <c r="E352">
        <v>20</v>
      </c>
      <c r="F352" t="s">
        <v>289</v>
      </c>
      <c r="G352">
        <v>20</v>
      </c>
      <c r="H352">
        <v>2025</v>
      </c>
      <c r="I352">
        <v>6</v>
      </c>
      <c r="J352" t="s">
        <v>33</v>
      </c>
      <c r="K352" s="1">
        <v>45825</v>
      </c>
      <c r="L352" t="s">
        <v>50</v>
      </c>
      <c r="M352" t="s">
        <v>39</v>
      </c>
      <c r="N352" t="b">
        <v>0</v>
      </c>
      <c r="O352">
        <v>502</v>
      </c>
    </row>
    <row r="353" spans="1:15" x14ac:dyDescent="0.35">
      <c r="A353" s="1">
        <v>45825</v>
      </c>
      <c r="B353" t="s">
        <v>170</v>
      </c>
      <c r="C353" t="s">
        <v>158</v>
      </c>
      <c r="D353" t="s">
        <v>36</v>
      </c>
      <c r="E353">
        <v>40</v>
      </c>
      <c r="F353" t="s">
        <v>171</v>
      </c>
      <c r="G353">
        <v>40</v>
      </c>
      <c r="H353">
        <v>2025</v>
      </c>
      <c r="I353">
        <v>6</v>
      </c>
      <c r="J353" t="s">
        <v>33</v>
      </c>
      <c r="K353" s="1">
        <v>45825</v>
      </c>
      <c r="L353" t="s">
        <v>50</v>
      </c>
      <c r="M353" t="s">
        <v>39</v>
      </c>
      <c r="N353" t="b">
        <v>0</v>
      </c>
      <c r="O353">
        <v>503</v>
      </c>
    </row>
    <row r="354" spans="1:15" x14ac:dyDescent="0.35">
      <c r="A354" s="1">
        <v>45812</v>
      </c>
      <c r="B354" t="s">
        <v>288</v>
      </c>
      <c r="C354" t="s">
        <v>158</v>
      </c>
      <c r="D354" t="s">
        <v>36</v>
      </c>
      <c r="E354">
        <v>20</v>
      </c>
      <c r="F354" t="s">
        <v>289</v>
      </c>
      <c r="G354">
        <v>20</v>
      </c>
      <c r="H354">
        <v>2025</v>
      </c>
      <c r="I354">
        <v>6</v>
      </c>
      <c r="J354" t="s">
        <v>33</v>
      </c>
      <c r="K354" s="1">
        <v>45812</v>
      </c>
      <c r="L354" t="s">
        <v>58</v>
      </c>
      <c r="M354" t="s">
        <v>39</v>
      </c>
      <c r="N354" t="b">
        <v>0</v>
      </c>
      <c r="O354">
        <v>507</v>
      </c>
    </row>
    <row r="355" spans="1:15" x14ac:dyDescent="0.35">
      <c r="A355" s="1">
        <v>45980</v>
      </c>
      <c r="B355" t="s">
        <v>263</v>
      </c>
      <c r="C355" t="s">
        <v>16</v>
      </c>
      <c r="D355" t="s">
        <v>17</v>
      </c>
      <c r="E355">
        <v>-45.56</v>
      </c>
      <c r="F355" t="s">
        <v>264</v>
      </c>
      <c r="G355">
        <v>45.56</v>
      </c>
      <c r="H355">
        <v>2025</v>
      </c>
      <c r="I355">
        <v>11</v>
      </c>
      <c r="J355" t="s">
        <v>68</v>
      </c>
      <c r="K355" s="1">
        <v>45980</v>
      </c>
      <c r="L355" t="s">
        <v>58</v>
      </c>
      <c r="M355" t="s">
        <v>21</v>
      </c>
      <c r="N355" t="b">
        <v>1</v>
      </c>
      <c r="O355">
        <v>1092</v>
      </c>
    </row>
    <row r="356" spans="1:15" x14ac:dyDescent="0.35">
      <c r="A356" s="1">
        <v>45849</v>
      </c>
      <c r="B356" t="s">
        <v>371</v>
      </c>
      <c r="C356" t="s">
        <v>350</v>
      </c>
      <c r="D356" t="s">
        <v>36</v>
      </c>
      <c r="E356">
        <v>2500</v>
      </c>
      <c r="F356" t="s">
        <v>372</v>
      </c>
      <c r="G356">
        <v>2500</v>
      </c>
      <c r="H356">
        <v>2025</v>
      </c>
      <c r="I356">
        <v>7</v>
      </c>
      <c r="J356" t="s">
        <v>73</v>
      </c>
      <c r="K356" s="1">
        <v>45849</v>
      </c>
      <c r="L356" t="s">
        <v>31</v>
      </c>
      <c r="M356" t="s">
        <v>39</v>
      </c>
      <c r="N356" t="b">
        <v>0</v>
      </c>
      <c r="O356">
        <v>509</v>
      </c>
    </row>
    <row r="357" spans="1:15" x14ac:dyDescent="0.35">
      <c r="A357" s="1">
        <v>45820</v>
      </c>
      <c r="B357" t="s">
        <v>385</v>
      </c>
      <c r="C357" t="s">
        <v>158</v>
      </c>
      <c r="D357" t="s">
        <v>36</v>
      </c>
      <c r="E357">
        <v>20</v>
      </c>
      <c r="F357" t="s">
        <v>385</v>
      </c>
      <c r="G357">
        <v>20</v>
      </c>
      <c r="H357">
        <v>2025</v>
      </c>
      <c r="I357">
        <v>6</v>
      </c>
      <c r="J357" t="s">
        <v>33</v>
      </c>
      <c r="K357" s="1">
        <v>45820</v>
      </c>
      <c r="L357" t="s">
        <v>23</v>
      </c>
      <c r="M357" t="s">
        <v>39</v>
      </c>
      <c r="N357" t="b">
        <v>0</v>
      </c>
      <c r="O357">
        <v>505</v>
      </c>
    </row>
    <row r="358" spans="1:15" x14ac:dyDescent="0.35">
      <c r="A358" s="1">
        <v>46014</v>
      </c>
      <c r="B358" t="s">
        <v>386</v>
      </c>
      <c r="C358" t="s">
        <v>35</v>
      </c>
      <c r="D358" t="s">
        <v>36</v>
      </c>
      <c r="E358">
        <v>70</v>
      </c>
      <c r="F358" t="s">
        <v>387</v>
      </c>
      <c r="G358">
        <v>70</v>
      </c>
      <c r="H358">
        <v>2025</v>
      </c>
      <c r="I358">
        <v>12</v>
      </c>
      <c r="J358" t="s">
        <v>66</v>
      </c>
      <c r="K358" s="1">
        <v>46014</v>
      </c>
      <c r="L358" t="s">
        <v>50</v>
      </c>
      <c r="M358" t="s">
        <v>39</v>
      </c>
      <c r="N358" t="b">
        <v>1</v>
      </c>
      <c r="O358">
        <v>606</v>
      </c>
    </row>
    <row r="359" spans="1:15" x14ac:dyDescent="0.35">
      <c r="A359" s="1">
        <v>46060</v>
      </c>
      <c r="B359" t="s">
        <v>387</v>
      </c>
      <c r="C359" t="s">
        <v>35</v>
      </c>
      <c r="D359" t="s">
        <v>36</v>
      </c>
      <c r="E359">
        <v>140.88</v>
      </c>
      <c r="F359" t="s">
        <v>387</v>
      </c>
      <c r="G359">
        <v>140.88</v>
      </c>
      <c r="H359">
        <v>2026</v>
      </c>
      <c r="I359">
        <v>2</v>
      </c>
      <c r="J359" t="s">
        <v>19</v>
      </c>
      <c r="K359" s="1">
        <v>46060</v>
      </c>
      <c r="L359" t="s">
        <v>20</v>
      </c>
      <c r="M359" t="s">
        <v>39</v>
      </c>
      <c r="N359" t="b">
        <v>1</v>
      </c>
      <c r="O359">
        <v>602</v>
      </c>
    </row>
    <row r="360" spans="1:15" x14ac:dyDescent="0.35">
      <c r="A360" s="1">
        <v>46059</v>
      </c>
      <c r="B360" t="s">
        <v>387</v>
      </c>
      <c r="C360" t="s">
        <v>35</v>
      </c>
      <c r="D360" t="s">
        <v>36</v>
      </c>
      <c r="E360">
        <v>96</v>
      </c>
      <c r="F360" t="s">
        <v>387</v>
      </c>
      <c r="G360">
        <v>96</v>
      </c>
      <c r="H360">
        <v>2026</v>
      </c>
      <c r="I360">
        <v>2</v>
      </c>
      <c r="J360" t="s">
        <v>19</v>
      </c>
      <c r="K360" s="1">
        <v>46059</v>
      </c>
      <c r="L360" t="s">
        <v>31</v>
      </c>
      <c r="M360" t="s">
        <v>39</v>
      </c>
      <c r="N360" t="b">
        <v>1</v>
      </c>
      <c r="O360">
        <v>603</v>
      </c>
    </row>
    <row r="361" spans="1:15" x14ac:dyDescent="0.35">
      <c r="A361" s="1">
        <v>46039</v>
      </c>
      <c r="B361" t="s">
        <v>388</v>
      </c>
      <c r="C361" t="s">
        <v>35</v>
      </c>
      <c r="D361" t="s">
        <v>36</v>
      </c>
      <c r="E361">
        <v>334.34</v>
      </c>
      <c r="F361" t="s">
        <v>387</v>
      </c>
      <c r="G361">
        <v>334.34</v>
      </c>
      <c r="H361">
        <v>2026</v>
      </c>
      <c r="I361">
        <v>1</v>
      </c>
      <c r="J361" t="s">
        <v>24</v>
      </c>
      <c r="K361" s="1">
        <v>46039</v>
      </c>
      <c r="L361" t="s">
        <v>20</v>
      </c>
      <c r="M361" t="s">
        <v>39</v>
      </c>
      <c r="N361" t="b">
        <v>1</v>
      </c>
      <c r="O361">
        <v>604</v>
      </c>
    </row>
    <row r="362" spans="1:15" x14ac:dyDescent="0.35">
      <c r="A362" s="1">
        <v>45933</v>
      </c>
      <c r="B362" t="s">
        <v>320</v>
      </c>
      <c r="C362" t="s">
        <v>16</v>
      </c>
      <c r="D362" t="s">
        <v>36</v>
      </c>
      <c r="E362">
        <v>61.77</v>
      </c>
      <c r="F362" t="s">
        <v>321</v>
      </c>
      <c r="G362">
        <v>61.77</v>
      </c>
      <c r="H362">
        <v>2025</v>
      </c>
      <c r="I362">
        <v>10</v>
      </c>
      <c r="J362" t="s">
        <v>57</v>
      </c>
      <c r="K362" s="1">
        <v>45933</v>
      </c>
      <c r="L362" t="s">
        <v>31</v>
      </c>
      <c r="M362" t="s">
        <v>39</v>
      </c>
      <c r="N362" t="b">
        <v>1</v>
      </c>
      <c r="O362">
        <v>1154</v>
      </c>
    </row>
    <row r="363" spans="1:15" x14ac:dyDescent="0.35">
      <c r="A363" s="1">
        <v>45847</v>
      </c>
      <c r="B363" t="s">
        <v>363</v>
      </c>
      <c r="C363" t="s">
        <v>158</v>
      </c>
      <c r="D363" t="s">
        <v>36</v>
      </c>
      <c r="E363">
        <v>37.5</v>
      </c>
      <c r="F363" t="s">
        <v>364</v>
      </c>
      <c r="G363">
        <v>37.5</v>
      </c>
      <c r="H363">
        <v>2025</v>
      </c>
      <c r="I363">
        <v>7</v>
      </c>
      <c r="J363" t="s">
        <v>73</v>
      </c>
      <c r="K363" s="1">
        <v>45847</v>
      </c>
      <c r="L363" t="s">
        <v>58</v>
      </c>
      <c r="M363" t="s">
        <v>39</v>
      </c>
      <c r="N363" t="b">
        <v>0</v>
      </c>
      <c r="O363">
        <v>515</v>
      </c>
    </row>
    <row r="364" spans="1:15" x14ac:dyDescent="0.35">
      <c r="A364" s="1">
        <v>45835</v>
      </c>
      <c r="B364" t="s">
        <v>363</v>
      </c>
      <c r="C364" t="s">
        <v>158</v>
      </c>
      <c r="D364" t="s">
        <v>36</v>
      </c>
      <c r="E364">
        <v>39.49</v>
      </c>
      <c r="F364" t="s">
        <v>364</v>
      </c>
      <c r="G364">
        <v>39.49</v>
      </c>
      <c r="H364">
        <v>2025</v>
      </c>
      <c r="I364">
        <v>6</v>
      </c>
      <c r="J364" t="s">
        <v>33</v>
      </c>
      <c r="K364" s="1">
        <v>45835</v>
      </c>
      <c r="L364" t="s">
        <v>31</v>
      </c>
      <c r="M364" t="s">
        <v>39</v>
      </c>
      <c r="N364" t="b">
        <v>0</v>
      </c>
      <c r="O364">
        <v>516</v>
      </c>
    </row>
    <row r="365" spans="1:15" x14ac:dyDescent="0.35">
      <c r="A365" s="1">
        <v>46035</v>
      </c>
      <c r="B365" t="s">
        <v>388</v>
      </c>
      <c r="C365" t="s">
        <v>35</v>
      </c>
      <c r="D365" t="s">
        <v>36</v>
      </c>
      <c r="E365">
        <v>130.16</v>
      </c>
      <c r="F365" t="s">
        <v>387</v>
      </c>
      <c r="G365">
        <v>130.16</v>
      </c>
      <c r="H365">
        <v>2026</v>
      </c>
      <c r="I365">
        <v>1</v>
      </c>
      <c r="J365" t="s">
        <v>24</v>
      </c>
      <c r="K365" s="1">
        <v>46035</v>
      </c>
      <c r="L365" t="s">
        <v>50</v>
      </c>
      <c r="M365" t="s">
        <v>39</v>
      </c>
      <c r="N365" t="b">
        <v>1</v>
      </c>
      <c r="O365">
        <v>605</v>
      </c>
    </row>
    <row r="366" spans="1:15" x14ac:dyDescent="0.35">
      <c r="A366" s="1">
        <v>45783</v>
      </c>
      <c r="B366" t="s">
        <v>288</v>
      </c>
      <c r="C366" t="s">
        <v>158</v>
      </c>
      <c r="D366" t="s">
        <v>36</v>
      </c>
      <c r="E366">
        <v>20</v>
      </c>
      <c r="F366" t="s">
        <v>289</v>
      </c>
      <c r="G366">
        <v>20</v>
      </c>
      <c r="H366">
        <v>2025</v>
      </c>
      <c r="I366">
        <v>5</v>
      </c>
      <c r="J366" t="s">
        <v>75</v>
      </c>
      <c r="K366" s="1">
        <v>45783</v>
      </c>
      <c r="L366" t="s">
        <v>50</v>
      </c>
      <c r="M366" t="s">
        <v>39</v>
      </c>
      <c r="N366" t="b">
        <v>0</v>
      </c>
      <c r="O366">
        <v>517</v>
      </c>
    </row>
    <row r="367" spans="1:15" x14ac:dyDescent="0.35">
      <c r="A367" s="1">
        <v>45836</v>
      </c>
      <c r="B367" t="s">
        <v>173</v>
      </c>
      <c r="C367" t="s">
        <v>158</v>
      </c>
      <c r="D367" t="s">
        <v>36</v>
      </c>
      <c r="E367">
        <v>20</v>
      </c>
      <c r="F367" t="s">
        <v>174</v>
      </c>
      <c r="G367">
        <v>20</v>
      </c>
      <c r="H367">
        <v>2025</v>
      </c>
      <c r="I367">
        <v>6</v>
      </c>
      <c r="J367" t="s">
        <v>33</v>
      </c>
      <c r="K367" s="1">
        <v>45836</v>
      </c>
      <c r="L367" t="s">
        <v>20</v>
      </c>
      <c r="M367" t="s">
        <v>39</v>
      </c>
      <c r="N367" t="b">
        <v>0</v>
      </c>
      <c r="O367">
        <v>518</v>
      </c>
    </row>
    <row r="368" spans="1:15" x14ac:dyDescent="0.35">
      <c r="A368" s="1">
        <v>46042</v>
      </c>
      <c r="B368" t="s">
        <v>363</v>
      </c>
      <c r="C368" t="s">
        <v>158</v>
      </c>
      <c r="D368" t="s">
        <v>36</v>
      </c>
      <c r="E368">
        <v>45</v>
      </c>
      <c r="F368" t="s">
        <v>364</v>
      </c>
      <c r="G368">
        <v>45</v>
      </c>
      <c r="H368">
        <v>2026</v>
      </c>
      <c r="I368">
        <v>1</v>
      </c>
      <c r="J368" t="s">
        <v>24</v>
      </c>
      <c r="K368" s="1">
        <v>46042</v>
      </c>
      <c r="L368" t="s">
        <v>50</v>
      </c>
      <c r="M368" t="s">
        <v>39</v>
      </c>
      <c r="N368" t="b">
        <v>0</v>
      </c>
      <c r="O368">
        <v>549</v>
      </c>
    </row>
    <row r="369" spans="1:15" x14ac:dyDescent="0.35">
      <c r="A369" s="1">
        <v>46009</v>
      </c>
      <c r="B369" t="s">
        <v>363</v>
      </c>
      <c r="C369" t="s">
        <v>158</v>
      </c>
      <c r="D369" t="s">
        <v>36</v>
      </c>
      <c r="E369">
        <v>32.880000000000003</v>
      </c>
      <c r="F369" t="s">
        <v>364</v>
      </c>
      <c r="G369">
        <v>32.880000000000003</v>
      </c>
      <c r="H369">
        <v>2025</v>
      </c>
      <c r="I369">
        <v>12</v>
      </c>
      <c r="J369" t="s">
        <v>66</v>
      </c>
      <c r="K369" s="1">
        <v>46009</v>
      </c>
      <c r="L369" t="s">
        <v>23</v>
      </c>
      <c r="M369" t="s">
        <v>39</v>
      </c>
      <c r="N369" t="b">
        <v>0</v>
      </c>
      <c r="O369">
        <v>550</v>
      </c>
    </row>
    <row r="370" spans="1:15" x14ac:dyDescent="0.35">
      <c r="A370" s="1">
        <v>46008</v>
      </c>
      <c r="B370" t="s">
        <v>363</v>
      </c>
      <c r="C370" t="s">
        <v>158</v>
      </c>
      <c r="D370" t="s">
        <v>36</v>
      </c>
      <c r="E370">
        <v>65.17</v>
      </c>
      <c r="F370" t="s">
        <v>364</v>
      </c>
      <c r="G370">
        <v>65.17</v>
      </c>
      <c r="H370">
        <v>2025</v>
      </c>
      <c r="I370">
        <v>12</v>
      </c>
      <c r="J370" t="s">
        <v>66</v>
      </c>
      <c r="K370" s="1">
        <v>46008</v>
      </c>
      <c r="L370" t="s">
        <v>58</v>
      </c>
      <c r="M370" t="s">
        <v>39</v>
      </c>
      <c r="N370" t="b">
        <v>0</v>
      </c>
      <c r="O370">
        <v>551</v>
      </c>
    </row>
    <row r="371" spans="1:15" x14ac:dyDescent="0.35">
      <c r="A371" s="1">
        <v>45781</v>
      </c>
      <c r="B371" t="s">
        <v>389</v>
      </c>
      <c r="C371" t="s">
        <v>168</v>
      </c>
      <c r="D371" t="s">
        <v>36</v>
      </c>
      <c r="E371">
        <v>53.82</v>
      </c>
      <c r="F371" t="s">
        <v>390</v>
      </c>
      <c r="G371">
        <v>53.82</v>
      </c>
      <c r="H371">
        <v>2025</v>
      </c>
      <c r="I371">
        <v>5</v>
      </c>
      <c r="J371" t="s">
        <v>75</v>
      </c>
      <c r="K371" s="1">
        <v>45781</v>
      </c>
      <c r="L371" t="s">
        <v>41</v>
      </c>
      <c r="M371" t="s">
        <v>39</v>
      </c>
      <c r="N371" t="b">
        <v>0</v>
      </c>
      <c r="O371">
        <v>552</v>
      </c>
    </row>
    <row r="372" spans="1:15" x14ac:dyDescent="0.35">
      <c r="A372" s="1">
        <v>45796</v>
      </c>
      <c r="B372" t="s">
        <v>391</v>
      </c>
      <c r="C372" t="s">
        <v>178</v>
      </c>
      <c r="D372" t="s">
        <v>36</v>
      </c>
      <c r="E372">
        <v>213.96</v>
      </c>
      <c r="F372" t="s">
        <v>392</v>
      </c>
      <c r="G372">
        <v>213.96</v>
      </c>
      <c r="H372">
        <v>2025</v>
      </c>
      <c r="I372">
        <v>5</v>
      </c>
      <c r="J372" t="s">
        <v>75</v>
      </c>
      <c r="K372" s="1">
        <v>45796</v>
      </c>
      <c r="L372" t="s">
        <v>38</v>
      </c>
      <c r="M372" t="s">
        <v>39</v>
      </c>
      <c r="N372" t="b">
        <v>0</v>
      </c>
      <c r="O372">
        <v>556</v>
      </c>
    </row>
    <row r="373" spans="1:15" x14ac:dyDescent="0.35">
      <c r="A373" s="1">
        <v>45931</v>
      </c>
      <c r="B373" t="s">
        <v>393</v>
      </c>
      <c r="C373" t="s">
        <v>35</v>
      </c>
      <c r="D373" t="s">
        <v>17</v>
      </c>
      <c r="E373">
        <v>-180.52</v>
      </c>
      <c r="F373" t="s">
        <v>394</v>
      </c>
      <c r="G373">
        <v>180.52</v>
      </c>
      <c r="H373">
        <v>2025</v>
      </c>
      <c r="I373">
        <v>10</v>
      </c>
      <c r="J373" t="s">
        <v>57</v>
      </c>
      <c r="K373" s="1">
        <v>45931</v>
      </c>
      <c r="L373" t="s">
        <v>58</v>
      </c>
      <c r="M373" t="s">
        <v>21</v>
      </c>
      <c r="N373" t="b">
        <v>1</v>
      </c>
      <c r="O373">
        <v>1156</v>
      </c>
    </row>
    <row r="374" spans="1:15" x14ac:dyDescent="0.35">
      <c r="A374" s="1">
        <v>46080</v>
      </c>
      <c r="B374" s="2" t="s">
        <v>395</v>
      </c>
      <c r="C374" t="s">
        <v>367</v>
      </c>
      <c r="D374" t="s">
        <v>368</v>
      </c>
      <c r="E374">
        <v>-1271.49</v>
      </c>
      <c r="F374" t="s">
        <v>369</v>
      </c>
      <c r="G374">
        <v>1271.49</v>
      </c>
      <c r="H374">
        <v>2026</v>
      </c>
      <c r="I374">
        <v>2</v>
      </c>
      <c r="J374" t="s">
        <v>19</v>
      </c>
      <c r="K374" s="1">
        <v>46080</v>
      </c>
      <c r="L374" t="s">
        <v>31</v>
      </c>
      <c r="M374" t="s">
        <v>21</v>
      </c>
      <c r="N374" t="b">
        <v>0</v>
      </c>
      <c r="O374">
        <v>539</v>
      </c>
    </row>
    <row r="375" spans="1:15" x14ac:dyDescent="0.35">
      <c r="A375" s="1">
        <v>45802</v>
      </c>
      <c r="B375" t="s">
        <v>363</v>
      </c>
      <c r="C375" t="s">
        <v>158</v>
      </c>
      <c r="D375" t="s">
        <v>36</v>
      </c>
      <c r="E375">
        <v>42.36</v>
      </c>
      <c r="F375" t="s">
        <v>364</v>
      </c>
      <c r="G375">
        <v>42.36</v>
      </c>
      <c r="H375">
        <v>2025</v>
      </c>
      <c r="I375">
        <v>5</v>
      </c>
      <c r="J375" t="s">
        <v>75</v>
      </c>
      <c r="K375" s="1">
        <v>45802</v>
      </c>
      <c r="L375" t="s">
        <v>41</v>
      </c>
      <c r="M375" t="s">
        <v>39</v>
      </c>
      <c r="N375" t="b">
        <v>0</v>
      </c>
      <c r="O375">
        <v>561</v>
      </c>
    </row>
    <row r="376" spans="1:15" x14ac:dyDescent="0.35">
      <c r="A376" s="1">
        <v>45930</v>
      </c>
      <c r="B376" t="s">
        <v>393</v>
      </c>
      <c r="C376" t="s">
        <v>35</v>
      </c>
      <c r="D376" t="s">
        <v>36</v>
      </c>
      <c r="E376">
        <v>180.52</v>
      </c>
      <c r="F376" t="s">
        <v>394</v>
      </c>
      <c r="G376">
        <v>180.52</v>
      </c>
      <c r="H376">
        <v>2025</v>
      </c>
      <c r="I376">
        <v>9</v>
      </c>
      <c r="J376" t="s">
        <v>30</v>
      </c>
      <c r="K376" s="1">
        <v>45930</v>
      </c>
      <c r="L376" t="s">
        <v>50</v>
      </c>
      <c r="M376" t="s">
        <v>39</v>
      </c>
      <c r="N376" t="b">
        <v>1</v>
      </c>
      <c r="O376">
        <v>1158</v>
      </c>
    </row>
    <row r="377" spans="1:15" x14ac:dyDescent="0.35">
      <c r="A377" s="1">
        <v>45929</v>
      </c>
      <c r="B377" t="s">
        <v>396</v>
      </c>
      <c r="C377" t="s">
        <v>35</v>
      </c>
      <c r="D377" t="s">
        <v>36</v>
      </c>
      <c r="E377">
        <v>192.55</v>
      </c>
      <c r="F377" t="s">
        <v>394</v>
      </c>
      <c r="G377">
        <v>192.55</v>
      </c>
      <c r="H377">
        <v>2025</v>
      </c>
      <c r="I377">
        <v>9</v>
      </c>
      <c r="J377" t="s">
        <v>30</v>
      </c>
      <c r="K377" s="1">
        <v>45929</v>
      </c>
      <c r="L377" t="s">
        <v>38</v>
      </c>
      <c r="M377" t="s">
        <v>39</v>
      </c>
      <c r="N377" t="b">
        <v>1</v>
      </c>
      <c r="O377">
        <v>1160</v>
      </c>
    </row>
    <row r="378" spans="1:15" x14ac:dyDescent="0.35">
      <c r="A378" s="1">
        <v>45936</v>
      </c>
      <c r="B378" t="s">
        <v>136</v>
      </c>
      <c r="C378" t="s">
        <v>137</v>
      </c>
      <c r="D378" t="s">
        <v>36</v>
      </c>
      <c r="E378">
        <v>8.4600000000000009</v>
      </c>
      <c r="F378" t="s">
        <v>138</v>
      </c>
      <c r="G378">
        <v>8.4600000000000009</v>
      </c>
      <c r="H378">
        <v>2025</v>
      </c>
      <c r="I378">
        <v>10</v>
      </c>
      <c r="J378" t="s">
        <v>57</v>
      </c>
      <c r="K378" s="1">
        <v>45936</v>
      </c>
      <c r="L378" t="s">
        <v>38</v>
      </c>
      <c r="M378" t="s">
        <v>39</v>
      </c>
      <c r="N378" t="b">
        <v>1</v>
      </c>
      <c r="O378">
        <v>1155</v>
      </c>
    </row>
    <row r="379" spans="1:15" x14ac:dyDescent="0.35">
      <c r="A379" s="1">
        <v>45929</v>
      </c>
      <c r="B379" t="s">
        <v>136</v>
      </c>
      <c r="C379" t="s">
        <v>137</v>
      </c>
      <c r="D379" t="s">
        <v>36</v>
      </c>
      <c r="E379">
        <v>9.06</v>
      </c>
      <c r="F379" t="s">
        <v>138</v>
      </c>
      <c r="G379">
        <v>9.06</v>
      </c>
      <c r="H379">
        <v>2025</v>
      </c>
      <c r="I379">
        <v>9</v>
      </c>
      <c r="J379" t="s">
        <v>30</v>
      </c>
      <c r="K379" s="1">
        <v>45929</v>
      </c>
      <c r="L379" t="s">
        <v>38</v>
      </c>
      <c r="M379" t="s">
        <v>39</v>
      </c>
      <c r="N379" t="b">
        <v>1</v>
      </c>
      <c r="O379">
        <v>1162</v>
      </c>
    </row>
    <row r="380" spans="1:15" x14ac:dyDescent="0.35">
      <c r="A380" s="1">
        <v>45915</v>
      </c>
      <c r="B380" t="s">
        <v>207</v>
      </c>
      <c r="C380" t="s">
        <v>16</v>
      </c>
      <c r="D380" t="s">
        <v>36</v>
      </c>
      <c r="E380">
        <v>16.190000000000001</v>
      </c>
      <c r="F380" t="s">
        <v>207</v>
      </c>
      <c r="G380">
        <v>16.190000000000001</v>
      </c>
      <c r="H380">
        <v>2025</v>
      </c>
      <c r="I380">
        <v>9</v>
      </c>
      <c r="J380" t="s">
        <v>30</v>
      </c>
      <c r="K380" s="1">
        <v>45915</v>
      </c>
      <c r="L380" t="s">
        <v>38</v>
      </c>
      <c r="M380" t="s">
        <v>39</v>
      </c>
      <c r="N380" t="b">
        <v>1</v>
      </c>
      <c r="O380">
        <v>1164</v>
      </c>
    </row>
    <row r="381" spans="1:15" x14ac:dyDescent="0.35">
      <c r="A381" s="1">
        <v>45903</v>
      </c>
      <c r="B381" t="s">
        <v>84</v>
      </c>
      <c r="C381" t="s">
        <v>16</v>
      </c>
      <c r="D381" t="s">
        <v>36</v>
      </c>
      <c r="E381">
        <v>46.28</v>
      </c>
      <c r="F381" t="s">
        <v>84</v>
      </c>
      <c r="G381">
        <v>46.28</v>
      </c>
      <c r="H381">
        <v>2025</v>
      </c>
      <c r="I381">
        <v>9</v>
      </c>
      <c r="J381" t="s">
        <v>30</v>
      </c>
      <c r="K381" s="1">
        <v>45903</v>
      </c>
      <c r="L381" t="s">
        <v>58</v>
      </c>
      <c r="M381" t="s">
        <v>39</v>
      </c>
      <c r="N381" t="b">
        <v>1</v>
      </c>
      <c r="O381">
        <v>1168</v>
      </c>
    </row>
    <row r="382" spans="1:15" x14ac:dyDescent="0.35">
      <c r="A382" s="1">
        <v>45997</v>
      </c>
      <c r="B382" t="s">
        <v>397</v>
      </c>
      <c r="C382" t="s">
        <v>309</v>
      </c>
      <c r="D382" t="s">
        <v>36</v>
      </c>
      <c r="E382">
        <v>15</v>
      </c>
      <c r="F382" t="s">
        <v>310</v>
      </c>
      <c r="G382">
        <v>15</v>
      </c>
      <c r="H382">
        <v>2025</v>
      </c>
      <c r="I382">
        <v>12</v>
      </c>
      <c r="J382" t="s">
        <v>66</v>
      </c>
      <c r="K382" s="1">
        <v>45997</v>
      </c>
      <c r="L382" t="s">
        <v>20</v>
      </c>
      <c r="M382" t="s">
        <v>39</v>
      </c>
      <c r="N382" t="b">
        <v>0</v>
      </c>
      <c r="O382">
        <v>580</v>
      </c>
    </row>
    <row r="383" spans="1:15" x14ac:dyDescent="0.35">
      <c r="A383" s="1">
        <v>45907</v>
      </c>
      <c r="B383" t="s">
        <v>398</v>
      </c>
      <c r="C383" t="s">
        <v>35</v>
      </c>
      <c r="D383" t="s">
        <v>36</v>
      </c>
      <c r="E383">
        <v>5.3</v>
      </c>
      <c r="F383" t="s">
        <v>399</v>
      </c>
      <c r="G383">
        <v>5.3</v>
      </c>
      <c r="H383">
        <v>2025</v>
      </c>
      <c r="I383">
        <v>9</v>
      </c>
      <c r="J383" t="s">
        <v>30</v>
      </c>
      <c r="K383" s="1">
        <v>45907</v>
      </c>
      <c r="L383" t="s">
        <v>41</v>
      </c>
      <c r="M383" t="s">
        <v>39</v>
      </c>
      <c r="N383" t="b">
        <v>1</v>
      </c>
      <c r="O383">
        <v>1199</v>
      </c>
    </row>
    <row r="384" spans="1:15" x14ac:dyDescent="0.35">
      <c r="A384" s="1">
        <v>45919</v>
      </c>
      <c r="B384" t="s">
        <v>277</v>
      </c>
      <c r="C384" t="s">
        <v>16</v>
      </c>
      <c r="D384" t="s">
        <v>36</v>
      </c>
      <c r="E384">
        <v>30.38</v>
      </c>
      <c r="F384" t="s">
        <v>278</v>
      </c>
      <c r="G384">
        <v>30.38</v>
      </c>
      <c r="H384">
        <v>2025</v>
      </c>
      <c r="I384">
        <v>9</v>
      </c>
      <c r="J384" t="s">
        <v>30</v>
      </c>
      <c r="K384" s="1">
        <v>45919</v>
      </c>
      <c r="L384" t="s">
        <v>31</v>
      </c>
      <c r="M384" t="s">
        <v>39</v>
      </c>
      <c r="N384" t="b">
        <v>1</v>
      </c>
      <c r="O384">
        <v>1169</v>
      </c>
    </row>
    <row r="385" spans="1:15" x14ac:dyDescent="0.35">
      <c r="A385" s="1">
        <v>45870</v>
      </c>
      <c r="B385" t="s">
        <v>400</v>
      </c>
      <c r="C385" t="s">
        <v>168</v>
      </c>
      <c r="D385" t="s">
        <v>36</v>
      </c>
      <c r="E385">
        <v>55.7</v>
      </c>
      <c r="F385" t="s">
        <v>401</v>
      </c>
      <c r="G385">
        <v>55.7</v>
      </c>
      <c r="H385">
        <v>2025</v>
      </c>
      <c r="I385">
        <v>8</v>
      </c>
      <c r="J385" t="s">
        <v>71</v>
      </c>
      <c r="K385" s="1">
        <v>45870</v>
      </c>
      <c r="L385" t="s">
        <v>31</v>
      </c>
      <c r="M385" t="s">
        <v>39</v>
      </c>
      <c r="N385" t="b">
        <v>0</v>
      </c>
      <c r="O385">
        <v>608</v>
      </c>
    </row>
    <row r="386" spans="1:15" x14ac:dyDescent="0.35">
      <c r="A386" s="1">
        <v>45860</v>
      </c>
      <c r="B386" t="s">
        <v>402</v>
      </c>
      <c r="C386" t="s">
        <v>168</v>
      </c>
      <c r="D386" t="s">
        <v>36</v>
      </c>
      <c r="E386">
        <v>55.44</v>
      </c>
      <c r="F386" t="s">
        <v>403</v>
      </c>
      <c r="G386">
        <v>55.44</v>
      </c>
      <c r="H386">
        <v>2025</v>
      </c>
      <c r="I386">
        <v>7</v>
      </c>
      <c r="J386" t="s">
        <v>73</v>
      </c>
      <c r="K386" s="1">
        <v>45860</v>
      </c>
      <c r="L386" t="s">
        <v>50</v>
      </c>
      <c r="M386" t="s">
        <v>39</v>
      </c>
      <c r="N386" t="b">
        <v>0</v>
      </c>
      <c r="O386">
        <v>609</v>
      </c>
    </row>
    <row r="387" spans="1:15" x14ac:dyDescent="0.35">
      <c r="A387" s="1">
        <v>45951</v>
      </c>
      <c r="B387" t="s">
        <v>404</v>
      </c>
      <c r="C387" t="s">
        <v>158</v>
      </c>
      <c r="D387" t="s">
        <v>36</v>
      </c>
      <c r="E387">
        <v>20</v>
      </c>
      <c r="F387" t="s">
        <v>347</v>
      </c>
      <c r="G387">
        <v>20</v>
      </c>
      <c r="H387">
        <v>2025</v>
      </c>
      <c r="I387">
        <v>10</v>
      </c>
      <c r="J387" t="s">
        <v>57</v>
      </c>
      <c r="K387" s="1">
        <v>45951</v>
      </c>
      <c r="L387" t="s">
        <v>50</v>
      </c>
      <c r="M387" t="s">
        <v>39</v>
      </c>
      <c r="N387" t="b">
        <v>0</v>
      </c>
      <c r="O387">
        <v>610</v>
      </c>
    </row>
    <row r="388" spans="1:15" x14ac:dyDescent="0.35">
      <c r="A388" s="1">
        <v>45811</v>
      </c>
      <c r="B388" t="s">
        <v>405</v>
      </c>
      <c r="C388" t="s">
        <v>406</v>
      </c>
      <c r="D388" t="s">
        <v>36</v>
      </c>
      <c r="E388">
        <v>25.18</v>
      </c>
      <c r="F388" t="s">
        <v>407</v>
      </c>
      <c r="G388">
        <v>25.18</v>
      </c>
      <c r="H388">
        <v>2025</v>
      </c>
      <c r="I388">
        <v>6</v>
      </c>
      <c r="J388" t="s">
        <v>33</v>
      </c>
      <c r="K388" s="1">
        <v>45811</v>
      </c>
      <c r="L388" t="s">
        <v>50</v>
      </c>
      <c r="M388" t="s">
        <v>39</v>
      </c>
      <c r="N388" t="b">
        <v>0</v>
      </c>
      <c r="O388">
        <v>612</v>
      </c>
    </row>
    <row r="389" spans="1:15" x14ac:dyDescent="0.35">
      <c r="A389" s="1">
        <v>45828</v>
      </c>
      <c r="B389" s="2" t="s">
        <v>408</v>
      </c>
      <c r="C389" t="s">
        <v>178</v>
      </c>
      <c r="D389" t="s">
        <v>36</v>
      </c>
      <c r="E389">
        <v>138.6</v>
      </c>
      <c r="F389" t="s">
        <v>179</v>
      </c>
      <c r="G389">
        <v>138.6</v>
      </c>
      <c r="H389">
        <v>2025</v>
      </c>
      <c r="I389">
        <v>6</v>
      </c>
      <c r="J389" t="s">
        <v>33</v>
      </c>
      <c r="K389" s="1">
        <v>45828</v>
      </c>
      <c r="L389" t="s">
        <v>31</v>
      </c>
      <c r="M389" t="s">
        <v>39</v>
      </c>
      <c r="N389" t="b">
        <v>0</v>
      </c>
      <c r="O389">
        <v>613</v>
      </c>
    </row>
    <row r="390" spans="1:15" x14ac:dyDescent="0.35">
      <c r="A390" s="1">
        <v>45797</v>
      </c>
      <c r="B390" t="s">
        <v>409</v>
      </c>
      <c r="C390" t="s">
        <v>178</v>
      </c>
      <c r="D390" t="s">
        <v>36</v>
      </c>
      <c r="E390">
        <v>138.6</v>
      </c>
      <c r="F390" t="s">
        <v>179</v>
      </c>
      <c r="G390">
        <v>138.6</v>
      </c>
      <c r="H390">
        <v>2025</v>
      </c>
      <c r="I390">
        <v>5</v>
      </c>
      <c r="J390" t="s">
        <v>75</v>
      </c>
      <c r="K390" s="1">
        <v>45797</v>
      </c>
      <c r="L390" t="s">
        <v>50</v>
      </c>
      <c r="M390" t="s">
        <v>39</v>
      </c>
      <c r="N390" t="b">
        <v>0</v>
      </c>
      <c r="O390">
        <v>614</v>
      </c>
    </row>
    <row r="391" spans="1:15" x14ac:dyDescent="0.35">
      <c r="A391" s="1">
        <v>45905</v>
      </c>
      <c r="B391" t="s">
        <v>284</v>
      </c>
      <c r="C391" t="s">
        <v>16</v>
      </c>
      <c r="D391" t="s">
        <v>36</v>
      </c>
      <c r="E391">
        <v>14.47</v>
      </c>
      <c r="F391" t="s">
        <v>232</v>
      </c>
      <c r="G391">
        <v>14.47</v>
      </c>
      <c r="H391">
        <v>2025</v>
      </c>
      <c r="I391">
        <v>9</v>
      </c>
      <c r="J391" t="s">
        <v>30</v>
      </c>
      <c r="K391" s="1">
        <v>45905</v>
      </c>
      <c r="L391" t="s">
        <v>31</v>
      </c>
      <c r="M391" t="s">
        <v>39</v>
      </c>
      <c r="N391" t="b">
        <v>1</v>
      </c>
      <c r="O391">
        <v>1175</v>
      </c>
    </row>
    <row r="392" spans="1:15" x14ac:dyDescent="0.35">
      <c r="A392" s="1">
        <v>45819</v>
      </c>
      <c r="B392" s="2" t="s">
        <v>410</v>
      </c>
      <c r="C392" t="s">
        <v>309</v>
      </c>
      <c r="D392" t="s">
        <v>36</v>
      </c>
      <c r="E392">
        <v>110</v>
      </c>
      <c r="F392" t="s">
        <v>411</v>
      </c>
      <c r="G392">
        <v>110</v>
      </c>
      <c r="H392">
        <v>2025</v>
      </c>
      <c r="I392">
        <v>6</v>
      </c>
      <c r="J392" t="s">
        <v>33</v>
      </c>
      <c r="K392" s="1">
        <v>45819</v>
      </c>
      <c r="L392" t="s">
        <v>58</v>
      </c>
      <c r="M392" t="s">
        <v>39</v>
      </c>
      <c r="N392" t="b">
        <v>0</v>
      </c>
      <c r="O392">
        <v>616</v>
      </c>
    </row>
    <row r="393" spans="1:15" x14ac:dyDescent="0.35">
      <c r="A393" s="1">
        <v>45790</v>
      </c>
      <c r="B393" t="s">
        <v>404</v>
      </c>
      <c r="C393" t="s">
        <v>158</v>
      </c>
      <c r="D393" t="s">
        <v>36</v>
      </c>
      <c r="E393">
        <v>20</v>
      </c>
      <c r="F393" t="s">
        <v>347</v>
      </c>
      <c r="G393">
        <v>20</v>
      </c>
      <c r="H393">
        <v>2025</v>
      </c>
      <c r="I393">
        <v>5</v>
      </c>
      <c r="J393" t="s">
        <v>75</v>
      </c>
      <c r="K393" s="1">
        <v>45790</v>
      </c>
      <c r="L393" t="s">
        <v>50</v>
      </c>
      <c r="M393" t="s">
        <v>39</v>
      </c>
      <c r="N393" t="b">
        <v>0</v>
      </c>
      <c r="O393">
        <v>619</v>
      </c>
    </row>
    <row r="394" spans="1:15" x14ac:dyDescent="0.35">
      <c r="A394" s="1">
        <v>45899</v>
      </c>
      <c r="B394" t="s">
        <v>257</v>
      </c>
      <c r="C394" t="s">
        <v>16</v>
      </c>
      <c r="D394" t="s">
        <v>36</v>
      </c>
      <c r="E394">
        <v>49.63</v>
      </c>
      <c r="F394" t="s">
        <v>258</v>
      </c>
      <c r="G394">
        <v>49.63</v>
      </c>
      <c r="H394">
        <v>2025</v>
      </c>
      <c r="I394">
        <v>8</v>
      </c>
      <c r="J394" t="s">
        <v>71</v>
      </c>
      <c r="K394" s="1">
        <v>45899</v>
      </c>
      <c r="L394" t="s">
        <v>20</v>
      </c>
      <c r="M394" t="s">
        <v>39</v>
      </c>
      <c r="N394" t="b">
        <v>1</v>
      </c>
      <c r="O394">
        <v>1177</v>
      </c>
    </row>
    <row r="395" spans="1:15" x14ac:dyDescent="0.35">
      <c r="A395" s="1">
        <v>45899</v>
      </c>
      <c r="B395" t="s">
        <v>412</v>
      </c>
      <c r="C395" t="s">
        <v>16</v>
      </c>
      <c r="D395" t="s">
        <v>36</v>
      </c>
      <c r="E395">
        <v>23.65</v>
      </c>
      <c r="F395" t="s">
        <v>413</v>
      </c>
      <c r="G395">
        <v>23.65</v>
      </c>
      <c r="H395">
        <v>2025</v>
      </c>
      <c r="I395">
        <v>8</v>
      </c>
      <c r="J395" t="s">
        <v>71</v>
      </c>
      <c r="K395" s="1">
        <v>45899</v>
      </c>
      <c r="L395" t="s">
        <v>20</v>
      </c>
      <c r="M395" t="s">
        <v>39</v>
      </c>
      <c r="N395" t="b">
        <v>1</v>
      </c>
      <c r="O395">
        <v>1178</v>
      </c>
    </row>
    <row r="396" spans="1:15" x14ac:dyDescent="0.35">
      <c r="A396" s="1">
        <v>45917</v>
      </c>
      <c r="B396" t="s">
        <v>414</v>
      </c>
      <c r="C396" t="s">
        <v>16</v>
      </c>
      <c r="D396" t="s">
        <v>36</v>
      </c>
      <c r="E396">
        <v>35.49</v>
      </c>
      <c r="F396" t="s">
        <v>415</v>
      </c>
      <c r="G396">
        <v>35.49</v>
      </c>
      <c r="H396">
        <v>2025</v>
      </c>
      <c r="I396">
        <v>9</v>
      </c>
      <c r="J396" t="s">
        <v>30</v>
      </c>
      <c r="K396" s="1">
        <v>45917</v>
      </c>
      <c r="L396" t="s">
        <v>58</v>
      </c>
      <c r="M396" t="s">
        <v>39</v>
      </c>
      <c r="N396" t="b">
        <v>1</v>
      </c>
      <c r="O396">
        <v>1181</v>
      </c>
    </row>
    <row r="397" spans="1:15" x14ac:dyDescent="0.35">
      <c r="A397" s="1">
        <v>45989</v>
      </c>
      <c r="B397" t="s">
        <v>416</v>
      </c>
      <c r="C397" t="s">
        <v>16</v>
      </c>
      <c r="D397" t="s">
        <v>36</v>
      </c>
      <c r="E397">
        <v>85.35</v>
      </c>
      <c r="F397" t="s">
        <v>301</v>
      </c>
      <c r="G397">
        <v>85.35</v>
      </c>
      <c r="H397">
        <v>2025</v>
      </c>
      <c r="I397">
        <v>11</v>
      </c>
      <c r="J397" t="s">
        <v>68</v>
      </c>
      <c r="K397" s="1">
        <v>45989</v>
      </c>
      <c r="L397" t="s">
        <v>31</v>
      </c>
      <c r="M397" t="s">
        <v>39</v>
      </c>
      <c r="N397" t="b">
        <v>1</v>
      </c>
      <c r="O397">
        <v>1186</v>
      </c>
    </row>
    <row r="398" spans="1:15" x14ac:dyDescent="0.35">
      <c r="A398" s="1">
        <v>45980</v>
      </c>
      <c r="B398" t="s">
        <v>300</v>
      </c>
      <c r="C398" t="s">
        <v>16</v>
      </c>
      <c r="D398" t="s">
        <v>17</v>
      </c>
      <c r="E398">
        <v>-8.52</v>
      </c>
      <c r="F398" t="s">
        <v>301</v>
      </c>
      <c r="G398">
        <v>8.52</v>
      </c>
      <c r="H398">
        <v>2025</v>
      </c>
      <c r="I398">
        <v>11</v>
      </c>
      <c r="J398" t="s">
        <v>68</v>
      </c>
      <c r="K398" s="1">
        <v>45980</v>
      </c>
      <c r="L398" t="s">
        <v>58</v>
      </c>
      <c r="M398" t="s">
        <v>21</v>
      </c>
      <c r="N398" t="b">
        <v>1</v>
      </c>
      <c r="O398">
        <v>1187</v>
      </c>
    </row>
    <row r="399" spans="1:15" x14ac:dyDescent="0.35">
      <c r="A399" s="1">
        <v>45980</v>
      </c>
      <c r="B399" t="s">
        <v>300</v>
      </c>
      <c r="C399" t="s">
        <v>16</v>
      </c>
      <c r="D399" t="s">
        <v>36</v>
      </c>
      <c r="E399">
        <v>59.44</v>
      </c>
      <c r="F399" t="s">
        <v>301</v>
      </c>
      <c r="G399">
        <v>59.44</v>
      </c>
      <c r="H399">
        <v>2025</v>
      </c>
      <c r="I399">
        <v>11</v>
      </c>
      <c r="J399" t="s">
        <v>68</v>
      </c>
      <c r="K399" s="1">
        <v>45980</v>
      </c>
      <c r="L399" t="s">
        <v>58</v>
      </c>
      <c r="M399" t="s">
        <v>39</v>
      </c>
      <c r="N399" t="b">
        <v>1</v>
      </c>
      <c r="O399">
        <v>1192</v>
      </c>
    </row>
    <row r="400" spans="1:15" x14ac:dyDescent="0.35">
      <c r="A400" s="1">
        <v>45955</v>
      </c>
      <c r="B400" t="s">
        <v>416</v>
      </c>
      <c r="C400" t="s">
        <v>16</v>
      </c>
      <c r="D400" t="s">
        <v>36</v>
      </c>
      <c r="E400">
        <v>19.46</v>
      </c>
      <c r="F400" t="s">
        <v>301</v>
      </c>
      <c r="G400">
        <v>19.46</v>
      </c>
      <c r="H400">
        <v>2025</v>
      </c>
      <c r="I400">
        <v>10</v>
      </c>
      <c r="J400" t="s">
        <v>57</v>
      </c>
      <c r="K400" s="1">
        <v>45955</v>
      </c>
      <c r="L400" t="s">
        <v>20</v>
      </c>
      <c r="M400" t="s">
        <v>39</v>
      </c>
      <c r="N400" t="b">
        <v>1</v>
      </c>
      <c r="O400">
        <v>1193</v>
      </c>
    </row>
    <row r="401" spans="1:15" x14ac:dyDescent="0.35">
      <c r="A401" s="1">
        <v>45865</v>
      </c>
      <c r="B401" t="s">
        <v>84</v>
      </c>
      <c r="C401" t="s">
        <v>16</v>
      </c>
      <c r="D401" t="s">
        <v>36</v>
      </c>
      <c r="E401">
        <v>24.05</v>
      </c>
      <c r="F401" t="s">
        <v>84</v>
      </c>
      <c r="G401">
        <v>24.05</v>
      </c>
      <c r="H401">
        <v>2025</v>
      </c>
      <c r="I401">
        <v>7</v>
      </c>
      <c r="J401" t="s">
        <v>73</v>
      </c>
      <c r="K401" s="1">
        <v>45865</v>
      </c>
      <c r="L401" t="s">
        <v>41</v>
      </c>
      <c r="M401" t="s">
        <v>39</v>
      </c>
      <c r="N401" t="b">
        <v>1</v>
      </c>
      <c r="O401">
        <v>1203</v>
      </c>
    </row>
    <row r="402" spans="1:15" x14ac:dyDescent="0.35">
      <c r="A402" s="1">
        <v>45856</v>
      </c>
      <c r="B402" t="s">
        <v>207</v>
      </c>
      <c r="C402" t="s">
        <v>16</v>
      </c>
      <c r="D402" t="s">
        <v>36</v>
      </c>
      <c r="E402">
        <v>26.31</v>
      </c>
      <c r="F402" t="s">
        <v>207</v>
      </c>
      <c r="G402">
        <v>26.31</v>
      </c>
      <c r="H402">
        <v>2025</v>
      </c>
      <c r="I402">
        <v>7</v>
      </c>
      <c r="J402" t="s">
        <v>73</v>
      </c>
      <c r="K402" s="1">
        <v>45856</v>
      </c>
      <c r="L402" t="s">
        <v>31</v>
      </c>
      <c r="M402" t="s">
        <v>39</v>
      </c>
      <c r="N402" t="b">
        <v>1</v>
      </c>
      <c r="O402">
        <v>1205</v>
      </c>
    </row>
    <row r="403" spans="1:15" x14ac:dyDescent="0.35">
      <c r="A403" s="1">
        <v>45883</v>
      </c>
      <c r="B403" t="s">
        <v>375</v>
      </c>
      <c r="C403" t="s">
        <v>16</v>
      </c>
      <c r="D403" t="s">
        <v>36</v>
      </c>
      <c r="E403">
        <v>35.729999999999997</v>
      </c>
      <c r="F403" t="s">
        <v>376</v>
      </c>
      <c r="G403">
        <v>35.729999999999997</v>
      </c>
      <c r="H403">
        <v>2025</v>
      </c>
      <c r="I403">
        <v>8</v>
      </c>
      <c r="J403" t="s">
        <v>71</v>
      </c>
      <c r="K403" s="1">
        <v>45883</v>
      </c>
      <c r="L403" t="s">
        <v>23</v>
      </c>
      <c r="M403" t="s">
        <v>39</v>
      </c>
      <c r="N403" t="b">
        <v>1</v>
      </c>
      <c r="O403">
        <v>1206</v>
      </c>
    </row>
    <row r="404" spans="1:15" x14ac:dyDescent="0.35">
      <c r="A404" s="1">
        <v>45881</v>
      </c>
      <c r="B404" t="s">
        <v>417</v>
      </c>
      <c r="C404" t="s">
        <v>16</v>
      </c>
      <c r="D404" t="s">
        <v>36</v>
      </c>
      <c r="E404">
        <v>50</v>
      </c>
      <c r="F404" t="s">
        <v>418</v>
      </c>
      <c r="G404">
        <v>50</v>
      </c>
      <c r="H404">
        <v>2025</v>
      </c>
      <c r="I404">
        <v>8</v>
      </c>
      <c r="J404" t="s">
        <v>71</v>
      </c>
      <c r="K404" s="1">
        <v>45881</v>
      </c>
      <c r="L404" t="s">
        <v>50</v>
      </c>
      <c r="M404" t="s">
        <v>39</v>
      </c>
      <c r="N404" t="b">
        <v>1</v>
      </c>
      <c r="O404">
        <v>1208</v>
      </c>
    </row>
    <row r="405" spans="1:15" x14ac:dyDescent="0.35">
      <c r="A405" s="1">
        <v>45841</v>
      </c>
      <c r="B405" t="s">
        <v>419</v>
      </c>
      <c r="C405" t="s">
        <v>168</v>
      </c>
      <c r="D405" t="s">
        <v>36</v>
      </c>
      <c r="E405">
        <v>44.54</v>
      </c>
      <c r="F405" t="s">
        <v>287</v>
      </c>
      <c r="G405">
        <v>44.54</v>
      </c>
      <c r="H405">
        <v>2025</v>
      </c>
      <c r="I405">
        <v>7</v>
      </c>
      <c r="J405" t="s">
        <v>73</v>
      </c>
      <c r="K405" s="1">
        <v>45841</v>
      </c>
      <c r="L405" t="s">
        <v>23</v>
      </c>
      <c r="M405" t="s">
        <v>39</v>
      </c>
      <c r="N405" t="b">
        <v>0</v>
      </c>
      <c r="O405">
        <v>1293</v>
      </c>
    </row>
    <row r="406" spans="1:15" x14ac:dyDescent="0.35">
      <c r="A406" s="1">
        <v>45880</v>
      </c>
      <c r="B406" t="s">
        <v>417</v>
      </c>
      <c r="C406" t="s">
        <v>16</v>
      </c>
      <c r="D406" t="s">
        <v>36</v>
      </c>
      <c r="E406">
        <v>50</v>
      </c>
      <c r="F406" t="s">
        <v>418</v>
      </c>
      <c r="G406">
        <v>50</v>
      </c>
      <c r="H406">
        <v>2025</v>
      </c>
      <c r="I406">
        <v>8</v>
      </c>
      <c r="J406" t="s">
        <v>71</v>
      </c>
      <c r="K406" s="1">
        <v>45880</v>
      </c>
      <c r="L406" t="s">
        <v>38</v>
      </c>
      <c r="M406" t="s">
        <v>39</v>
      </c>
      <c r="N406" t="b">
        <v>1</v>
      </c>
      <c r="O406">
        <v>1210</v>
      </c>
    </row>
    <row r="407" spans="1:15" x14ac:dyDescent="0.35">
      <c r="A407" s="1">
        <v>45882</v>
      </c>
      <c r="B407" t="s">
        <v>420</v>
      </c>
      <c r="C407" t="s">
        <v>16</v>
      </c>
      <c r="D407" t="s">
        <v>36</v>
      </c>
      <c r="E407">
        <v>44.59</v>
      </c>
      <c r="F407" t="s">
        <v>421</v>
      </c>
      <c r="G407">
        <v>44.59</v>
      </c>
      <c r="H407">
        <v>2025</v>
      </c>
      <c r="I407">
        <v>8</v>
      </c>
      <c r="J407" t="s">
        <v>71</v>
      </c>
      <c r="K407" s="1">
        <v>45882</v>
      </c>
      <c r="L407" t="s">
        <v>58</v>
      </c>
      <c r="M407" t="s">
        <v>39</v>
      </c>
      <c r="N407" t="b">
        <v>1</v>
      </c>
      <c r="O407">
        <v>1211</v>
      </c>
    </row>
    <row r="408" spans="1:15" x14ac:dyDescent="0.35">
      <c r="A408" s="1">
        <v>45880</v>
      </c>
      <c r="B408" t="s">
        <v>420</v>
      </c>
      <c r="C408" t="s">
        <v>16</v>
      </c>
      <c r="D408" t="s">
        <v>36</v>
      </c>
      <c r="E408">
        <v>20.58</v>
      </c>
      <c r="F408" t="s">
        <v>421</v>
      </c>
      <c r="G408">
        <v>20.58</v>
      </c>
      <c r="H408">
        <v>2025</v>
      </c>
      <c r="I408">
        <v>8</v>
      </c>
      <c r="J408" t="s">
        <v>71</v>
      </c>
      <c r="K408" s="1">
        <v>45880</v>
      </c>
      <c r="L408" t="s">
        <v>38</v>
      </c>
      <c r="M408" t="s">
        <v>39</v>
      </c>
      <c r="N408" t="b">
        <v>1</v>
      </c>
      <c r="O408">
        <v>1212</v>
      </c>
    </row>
    <row r="409" spans="1:15" x14ac:dyDescent="0.35">
      <c r="A409" s="1">
        <v>45879</v>
      </c>
      <c r="B409" t="s">
        <v>422</v>
      </c>
      <c r="C409" t="s">
        <v>16</v>
      </c>
      <c r="D409" t="s">
        <v>36</v>
      </c>
      <c r="E409">
        <v>20</v>
      </c>
      <c r="F409" t="s">
        <v>422</v>
      </c>
      <c r="G409">
        <v>20</v>
      </c>
      <c r="H409">
        <v>2025</v>
      </c>
      <c r="I409">
        <v>8</v>
      </c>
      <c r="J409" t="s">
        <v>71</v>
      </c>
      <c r="K409" s="1">
        <v>45879</v>
      </c>
      <c r="L409" t="s">
        <v>41</v>
      </c>
      <c r="M409" t="s">
        <v>39</v>
      </c>
      <c r="N409" t="b">
        <v>1</v>
      </c>
      <c r="O409">
        <v>1213</v>
      </c>
    </row>
    <row r="410" spans="1:15" x14ac:dyDescent="0.35">
      <c r="A410" s="1">
        <v>45880</v>
      </c>
      <c r="B410" t="s">
        <v>420</v>
      </c>
      <c r="C410" t="s">
        <v>16</v>
      </c>
      <c r="D410" t="s">
        <v>36</v>
      </c>
      <c r="E410">
        <v>32.83</v>
      </c>
      <c r="F410" t="s">
        <v>421</v>
      </c>
      <c r="G410">
        <v>32.83</v>
      </c>
      <c r="H410">
        <v>2025</v>
      </c>
      <c r="I410">
        <v>8</v>
      </c>
      <c r="J410" t="s">
        <v>71</v>
      </c>
      <c r="K410" s="1">
        <v>45880</v>
      </c>
      <c r="L410" t="s">
        <v>38</v>
      </c>
      <c r="M410" t="s">
        <v>39</v>
      </c>
      <c r="N410" t="b">
        <v>1</v>
      </c>
      <c r="O410">
        <v>1214</v>
      </c>
    </row>
    <row r="411" spans="1:15" x14ac:dyDescent="0.35">
      <c r="A411" s="1">
        <v>45880</v>
      </c>
      <c r="B411" t="s">
        <v>420</v>
      </c>
      <c r="C411" t="s">
        <v>16</v>
      </c>
      <c r="D411" t="s">
        <v>36</v>
      </c>
      <c r="E411">
        <v>21.78</v>
      </c>
      <c r="F411" t="s">
        <v>421</v>
      </c>
      <c r="G411">
        <v>21.78</v>
      </c>
      <c r="H411">
        <v>2025</v>
      </c>
      <c r="I411">
        <v>8</v>
      </c>
      <c r="J411" t="s">
        <v>71</v>
      </c>
      <c r="K411" s="1">
        <v>45880</v>
      </c>
      <c r="L411" t="s">
        <v>38</v>
      </c>
      <c r="M411" t="s">
        <v>39</v>
      </c>
      <c r="N411" t="b">
        <v>1</v>
      </c>
      <c r="O411">
        <v>1216</v>
      </c>
    </row>
    <row r="412" spans="1:15" x14ac:dyDescent="0.35">
      <c r="A412" s="1">
        <v>45876</v>
      </c>
      <c r="B412" t="s">
        <v>286</v>
      </c>
      <c r="C412" t="s">
        <v>168</v>
      </c>
      <c r="D412" t="s">
        <v>36</v>
      </c>
      <c r="E412">
        <v>25</v>
      </c>
      <c r="F412" t="s">
        <v>287</v>
      </c>
      <c r="G412">
        <v>25</v>
      </c>
      <c r="H412">
        <v>2025</v>
      </c>
      <c r="I412">
        <v>8</v>
      </c>
      <c r="J412" t="s">
        <v>71</v>
      </c>
      <c r="K412" s="1">
        <v>45876</v>
      </c>
      <c r="L412" t="s">
        <v>23</v>
      </c>
      <c r="M412" t="s">
        <v>39</v>
      </c>
      <c r="N412" t="b">
        <v>0</v>
      </c>
      <c r="O412">
        <v>1260</v>
      </c>
    </row>
    <row r="413" spans="1:15" x14ac:dyDescent="0.35">
      <c r="A413" s="1">
        <v>45931</v>
      </c>
      <c r="B413" t="s">
        <v>352</v>
      </c>
      <c r="C413" t="s">
        <v>168</v>
      </c>
      <c r="D413" t="s">
        <v>36</v>
      </c>
      <c r="E413">
        <v>46.34</v>
      </c>
      <c r="F413" t="s">
        <v>353</v>
      </c>
      <c r="G413">
        <v>46.34</v>
      </c>
      <c r="H413">
        <v>2025</v>
      </c>
      <c r="I413">
        <v>10</v>
      </c>
      <c r="J413" t="s">
        <v>57</v>
      </c>
      <c r="K413" s="1">
        <v>45931</v>
      </c>
      <c r="L413" t="s">
        <v>58</v>
      </c>
      <c r="M413" t="s">
        <v>39</v>
      </c>
      <c r="N413" t="b">
        <v>0</v>
      </c>
      <c r="O413">
        <v>1245</v>
      </c>
    </row>
    <row r="414" spans="1:15" x14ac:dyDescent="0.35">
      <c r="A414" s="1">
        <v>45923</v>
      </c>
      <c r="B414" t="s">
        <v>363</v>
      </c>
      <c r="C414" t="s">
        <v>158</v>
      </c>
      <c r="D414" t="s">
        <v>36</v>
      </c>
      <c r="E414">
        <v>54.64</v>
      </c>
      <c r="F414" t="s">
        <v>364</v>
      </c>
      <c r="G414">
        <v>54.64</v>
      </c>
      <c r="H414">
        <v>2025</v>
      </c>
      <c r="I414">
        <v>9</v>
      </c>
      <c r="J414" t="s">
        <v>30</v>
      </c>
      <c r="K414" s="1">
        <v>45923</v>
      </c>
      <c r="L414" t="s">
        <v>50</v>
      </c>
      <c r="M414" t="s">
        <v>39</v>
      </c>
      <c r="N414" t="b">
        <v>0</v>
      </c>
      <c r="O414">
        <v>1246</v>
      </c>
    </row>
    <row r="415" spans="1:15" x14ac:dyDescent="0.35">
      <c r="A415" s="1">
        <v>45919</v>
      </c>
      <c r="B415" t="s">
        <v>363</v>
      </c>
      <c r="C415" t="s">
        <v>158</v>
      </c>
      <c r="D415" t="s">
        <v>36</v>
      </c>
      <c r="E415">
        <v>63.77</v>
      </c>
      <c r="F415" t="s">
        <v>364</v>
      </c>
      <c r="G415">
        <v>63.77</v>
      </c>
      <c r="H415">
        <v>2025</v>
      </c>
      <c r="I415">
        <v>9</v>
      </c>
      <c r="J415" t="s">
        <v>30</v>
      </c>
      <c r="K415" s="1">
        <v>45919</v>
      </c>
      <c r="L415" t="s">
        <v>31</v>
      </c>
      <c r="M415" t="s">
        <v>39</v>
      </c>
      <c r="N415" t="b">
        <v>0</v>
      </c>
      <c r="O415">
        <v>1247</v>
      </c>
    </row>
    <row r="416" spans="1:15" x14ac:dyDescent="0.35">
      <c r="A416" s="1">
        <v>45919</v>
      </c>
      <c r="B416" t="s">
        <v>363</v>
      </c>
      <c r="C416" t="s">
        <v>158</v>
      </c>
      <c r="D416" t="s">
        <v>36</v>
      </c>
      <c r="E416">
        <v>8.9499999999999993</v>
      </c>
      <c r="F416" t="s">
        <v>364</v>
      </c>
      <c r="G416">
        <v>8.9499999999999993</v>
      </c>
      <c r="H416">
        <v>2025</v>
      </c>
      <c r="I416">
        <v>9</v>
      </c>
      <c r="J416" t="s">
        <v>30</v>
      </c>
      <c r="K416" s="1">
        <v>45919</v>
      </c>
      <c r="L416" t="s">
        <v>31</v>
      </c>
      <c r="M416" t="s">
        <v>39</v>
      </c>
      <c r="N416" t="b">
        <v>0</v>
      </c>
      <c r="O416">
        <v>1248</v>
      </c>
    </row>
    <row r="417" spans="1:15" x14ac:dyDescent="0.35">
      <c r="A417" s="1">
        <v>45836</v>
      </c>
      <c r="B417" t="s">
        <v>286</v>
      </c>
      <c r="C417" t="s">
        <v>168</v>
      </c>
      <c r="D417" t="s">
        <v>36</v>
      </c>
      <c r="E417">
        <v>78.39</v>
      </c>
      <c r="F417" t="s">
        <v>287</v>
      </c>
      <c r="G417">
        <v>78.39</v>
      </c>
      <c r="H417">
        <v>2025</v>
      </c>
      <c r="I417">
        <v>6</v>
      </c>
      <c r="J417" t="s">
        <v>33</v>
      </c>
      <c r="K417" s="1">
        <v>45836</v>
      </c>
      <c r="L417" t="s">
        <v>20</v>
      </c>
      <c r="M417" t="s">
        <v>39</v>
      </c>
      <c r="N417" t="b">
        <v>0</v>
      </c>
      <c r="O417">
        <v>1294</v>
      </c>
    </row>
    <row r="418" spans="1:15" x14ac:dyDescent="0.35">
      <c r="A418" s="1">
        <v>45836</v>
      </c>
      <c r="B418" t="s">
        <v>286</v>
      </c>
      <c r="C418" t="s">
        <v>168</v>
      </c>
      <c r="D418" t="s">
        <v>36</v>
      </c>
      <c r="E418">
        <v>4.3</v>
      </c>
      <c r="F418" t="s">
        <v>287</v>
      </c>
      <c r="G418">
        <v>4.3</v>
      </c>
      <c r="H418">
        <v>2025</v>
      </c>
      <c r="I418">
        <v>6</v>
      </c>
      <c r="J418" t="s">
        <v>33</v>
      </c>
      <c r="K418" s="1">
        <v>45836</v>
      </c>
      <c r="L418" t="s">
        <v>20</v>
      </c>
      <c r="M418" t="s">
        <v>39</v>
      </c>
      <c r="N418" t="b">
        <v>0</v>
      </c>
      <c r="O418">
        <v>1295</v>
      </c>
    </row>
    <row r="419" spans="1:15" x14ac:dyDescent="0.35">
      <c r="A419" s="1">
        <v>45879</v>
      </c>
      <c r="B419" t="s">
        <v>423</v>
      </c>
      <c r="C419" t="s">
        <v>16</v>
      </c>
      <c r="D419" t="s">
        <v>36</v>
      </c>
      <c r="E419">
        <v>35.83</v>
      </c>
      <c r="F419" t="s">
        <v>424</v>
      </c>
      <c r="G419">
        <v>35.83</v>
      </c>
      <c r="H419">
        <v>2025</v>
      </c>
      <c r="I419">
        <v>8</v>
      </c>
      <c r="J419" t="s">
        <v>71</v>
      </c>
      <c r="K419" s="1">
        <v>45879</v>
      </c>
      <c r="L419" t="s">
        <v>41</v>
      </c>
      <c r="M419" t="s">
        <v>39</v>
      </c>
      <c r="N419" t="b">
        <v>1</v>
      </c>
      <c r="O419">
        <v>1220</v>
      </c>
    </row>
    <row r="420" spans="1:15" x14ac:dyDescent="0.35">
      <c r="A420" s="1">
        <v>46065</v>
      </c>
      <c r="B420" t="s">
        <v>425</v>
      </c>
      <c r="C420" t="s">
        <v>35</v>
      </c>
      <c r="D420" t="s">
        <v>36</v>
      </c>
      <c r="E420">
        <v>20</v>
      </c>
      <c r="F420" t="s">
        <v>399</v>
      </c>
      <c r="G420">
        <v>20</v>
      </c>
      <c r="H420">
        <v>2026</v>
      </c>
      <c r="I420">
        <v>2</v>
      </c>
      <c r="J420" t="s">
        <v>19</v>
      </c>
      <c r="K420" s="1">
        <v>46065</v>
      </c>
      <c r="L420" t="s">
        <v>23</v>
      </c>
      <c r="M420" t="s">
        <v>39</v>
      </c>
      <c r="N420" t="b">
        <v>1</v>
      </c>
      <c r="O420">
        <v>1383</v>
      </c>
    </row>
    <row r="421" spans="1:15" x14ac:dyDescent="0.35">
      <c r="A421" s="1">
        <v>45915</v>
      </c>
      <c r="B421" t="s">
        <v>328</v>
      </c>
      <c r="C421" t="s">
        <v>16</v>
      </c>
      <c r="D421" t="s">
        <v>36</v>
      </c>
      <c r="E421">
        <v>6</v>
      </c>
      <c r="F421" t="s">
        <v>329</v>
      </c>
      <c r="G421">
        <v>6</v>
      </c>
      <c r="H421">
        <v>2025</v>
      </c>
      <c r="I421">
        <v>9</v>
      </c>
      <c r="J421" t="s">
        <v>30</v>
      </c>
      <c r="K421" s="1">
        <v>45915</v>
      </c>
      <c r="L421" t="s">
        <v>38</v>
      </c>
      <c r="M421" t="s">
        <v>39</v>
      </c>
      <c r="N421" t="b">
        <v>1</v>
      </c>
      <c r="O421">
        <v>1170</v>
      </c>
    </row>
    <row r="422" spans="1:15" x14ac:dyDescent="0.35">
      <c r="A422" s="1">
        <v>45790</v>
      </c>
      <c r="B422" t="s">
        <v>286</v>
      </c>
      <c r="C422" t="s">
        <v>168</v>
      </c>
      <c r="D422" t="s">
        <v>36</v>
      </c>
      <c r="E422">
        <v>53.69</v>
      </c>
      <c r="F422" t="s">
        <v>287</v>
      </c>
      <c r="G422">
        <v>53.69</v>
      </c>
      <c r="H422">
        <v>2025</v>
      </c>
      <c r="I422">
        <v>5</v>
      </c>
      <c r="J422" t="s">
        <v>75</v>
      </c>
      <c r="K422" s="1">
        <v>45790</v>
      </c>
      <c r="L422" t="s">
        <v>50</v>
      </c>
      <c r="M422" t="s">
        <v>39</v>
      </c>
      <c r="N422" t="b">
        <v>0</v>
      </c>
      <c r="O422">
        <v>1337</v>
      </c>
    </row>
    <row r="423" spans="1:15" x14ac:dyDescent="0.35">
      <c r="A423" s="1">
        <v>45935</v>
      </c>
      <c r="B423" t="s">
        <v>426</v>
      </c>
      <c r="C423" t="s">
        <v>137</v>
      </c>
      <c r="D423" t="s">
        <v>36</v>
      </c>
      <c r="E423">
        <v>9.74</v>
      </c>
      <c r="F423" t="s">
        <v>427</v>
      </c>
      <c r="G423">
        <v>9.74</v>
      </c>
      <c r="H423">
        <v>2025</v>
      </c>
      <c r="I423">
        <v>10</v>
      </c>
      <c r="J423" t="s">
        <v>57</v>
      </c>
      <c r="K423" s="1">
        <v>45935</v>
      </c>
      <c r="L423" t="s">
        <v>41</v>
      </c>
      <c r="M423" t="s">
        <v>39</v>
      </c>
      <c r="N423" t="b">
        <v>1</v>
      </c>
      <c r="O423">
        <v>1157</v>
      </c>
    </row>
    <row r="424" spans="1:15" x14ac:dyDescent="0.35">
      <c r="A424" s="1">
        <v>45934</v>
      </c>
      <c r="B424" t="s">
        <v>428</v>
      </c>
      <c r="C424" t="s">
        <v>137</v>
      </c>
      <c r="D424" t="s">
        <v>36</v>
      </c>
      <c r="E424">
        <v>28.85</v>
      </c>
      <c r="F424" t="s">
        <v>429</v>
      </c>
      <c r="G424">
        <v>28.85</v>
      </c>
      <c r="H424">
        <v>2025</v>
      </c>
      <c r="I424">
        <v>10</v>
      </c>
      <c r="J424" t="s">
        <v>57</v>
      </c>
      <c r="K424" s="1">
        <v>45934</v>
      </c>
      <c r="L424" t="s">
        <v>20</v>
      </c>
      <c r="M424" t="s">
        <v>39</v>
      </c>
      <c r="N424" t="b">
        <v>1</v>
      </c>
      <c r="O424">
        <v>1159</v>
      </c>
    </row>
    <row r="425" spans="1:15" x14ac:dyDescent="0.35">
      <c r="A425" s="1">
        <v>45857</v>
      </c>
      <c r="B425" t="s">
        <v>430</v>
      </c>
      <c r="C425" t="s">
        <v>16</v>
      </c>
      <c r="D425" t="s">
        <v>36</v>
      </c>
      <c r="E425">
        <v>4.2300000000000004</v>
      </c>
      <c r="F425" t="s">
        <v>431</v>
      </c>
      <c r="G425">
        <v>4.2300000000000004</v>
      </c>
      <c r="H425">
        <v>2025</v>
      </c>
      <c r="I425">
        <v>7</v>
      </c>
      <c r="J425" t="s">
        <v>73</v>
      </c>
      <c r="K425" s="1">
        <v>45857</v>
      </c>
      <c r="L425" t="s">
        <v>20</v>
      </c>
      <c r="M425" t="s">
        <v>39</v>
      </c>
      <c r="N425" t="b">
        <v>1</v>
      </c>
      <c r="O425">
        <v>1253</v>
      </c>
    </row>
    <row r="426" spans="1:15" x14ac:dyDescent="0.35">
      <c r="A426" s="1">
        <v>45937</v>
      </c>
      <c r="B426" t="s">
        <v>416</v>
      </c>
      <c r="C426" t="s">
        <v>16</v>
      </c>
      <c r="D426" t="s">
        <v>36</v>
      </c>
      <c r="E426">
        <v>38.93</v>
      </c>
      <c r="F426" t="s">
        <v>301</v>
      </c>
      <c r="G426">
        <v>38.93</v>
      </c>
      <c r="H426">
        <v>2025</v>
      </c>
      <c r="I426">
        <v>10</v>
      </c>
      <c r="J426" t="s">
        <v>57</v>
      </c>
      <c r="K426" s="1">
        <v>45937</v>
      </c>
      <c r="L426" t="s">
        <v>50</v>
      </c>
      <c r="M426" t="s">
        <v>39</v>
      </c>
      <c r="N426" t="b">
        <v>1</v>
      </c>
      <c r="O426">
        <v>1254</v>
      </c>
    </row>
    <row r="427" spans="1:15" x14ac:dyDescent="0.35">
      <c r="A427" s="1">
        <v>45865</v>
      </c>
      <c r="B427" t="s">
        <v>432</v>
      </c>
      <c r="C427" t="s">
        <v>16</v>
      </c>
      <c r="D427" t="s">
        <v>36</v>
      </c>
      <c r="E427">
        <v>14.58</v>
      </c>
      <c r="F427" t="s">
        <v>433</v>
      </c>
      <c r="G427">
        <v>14.58</v>
      </c>
      <c r="H427">
        <v>2025</v>
      </c>
      <c r="I427">
        <v>7</v>
      </c>
      <c r="J427" t="s">
        <v>73</v>
      </c>
      <c r="K427" s="1">
        <v>45865</v>
      </c>
      <c r="L427" t="s">
        <v>41</v>
      </c>
      <c r="M427" t="s">
        <v>39</v>
      </c>
      <c r="N427" t="b">
        <v>1</v>
      </c>
      <c r="O427">
        <v>1259</v>
      </c>
    </row>
    <row r="428" spans="1:15" x14ac:dyDescent="0.35">
      <c r="A428" s="1">
        <v>45839</v>
      </c>
      <c r="B428" t="s">
        <v>434</v>
      </c>
      <c r="C428" t="s">
        <v>16</v>
      </c>
      <c r="D428" t="s">
        <v>36</v>
      </c>
      <c r="E428">
        <v>4.33</v>
      </c>
      <c r="F428" t="s">
        <v>435</v>
      </c>
      <c r="G428">
        <v>4.33</v>
      </c>
      <c r="H428">
        <v>2025</v>
      </c>
      <c r="I428">
        <v>7</v>
      </c>
      <c r="J428" t="s">
        <v>73</v>
      </c>
      <c r="K428" s="1">
        <v>45839</v>
      </c>
      <c r="L428" t="s">
        <v>50</v>
      </c>
      <c r="M428" t="s">
        <v>39</v>
      </c>
      <c r="N428" t="b">
        <v>1</v>
      </c>
      <c r="O428">
        <v>1264</v>
      </c>
    </row>
    <row r="429" spans="1:15" x14ac:dyDescent="0.35">
      <c r="A429" s="1">
        <v>46049</v>
      </c>
      <c r="B429" s="2" t="s">
        <v>436</v>
      </c>
      <c r="C429" t="s">
        <v>367</v>
      </c>
      <c r="D429" t="s">
        <v>368</v>
      </c>
      <c r="E429">
        <v>-597.66999999999996</v>
      </c>
      <c r="F429" t="s">
        <v>369</v>
      </c>
      <c r="G429">
        <v>597.66999999999996</v>
      </c>
      <c r="H429">
        <v>2026</v>
      </c>
      <c r="I429">
        <v>1</v>
      </c>
      <c r="J429" t="s">
        <v>24</v>
      </c>
      <c r="K429" s="1">
        <v>46049</v>
      </c>
      <c r="L429" t="s">
        <v>50</v>
      </c>
      <c r="M429" t="s">
        <v>21</v>
      </c>
      <c r="N429" t="b">
        <v>0</v>
      </c>
      <c r="O429">
        <v>1378</v>
      </c>
    </row>
    <row r="430" spans="1:15" x14ac:dyDescent="0.35">
      <c r="A430" s="1">
        <v>45846</v>
      </c>
      <c r="B430" t="s">
        <v>352</v>
      </c>
      <c r="C430" t="s">
        <v>168</v>
      </c>
      <c r="D430" t="s">
        <v>36</v>
      </c>
      <c r="E430">
        <v>54.07</v>
      </c>
      <c r="F430" t="s">
        <v>353</v>
      </c>
      <c r="G430">
        <v>54.07</v>
      </c>
      <c r="H430">
        <v>2025</v>
      </c>
      <c r="I430">
        <v>7</v>
      </c>
      <c r="J430" t="s">
        <v>73</v>
      </c>
      <c r="K430" s="1">
        <v>45846</v>
      </c>
      <c r="L430" t="s">
        <v>50</v>
      </c>
      <c r="M430" t="s">
        <v>39</v>
      </c>
      <c r="N430" t="b">
        <v>0</v>
      </c>
      <c r="O430">
        <v>1345</v>
      </c>
    </row>
    <row r="431" spans="1:15" x14ac:dyDescent="0.35">
      <c r="A431" s="1">
        <v>45804</v>
      </c>
      <c r="B431" t="s">
        <v>352</v>
      </c>
      <c r="C431" t="s">
        <v>168</v>
      </c>
      <c r="D431" t="s">
        <v>36</v>
      </c>
      <c r="E431">
        <v>49.16</v>
      </c>
      <c r="F431" t="s">
        <v>353</v>
      </c>
      <c r="G431">
        <v>49.16</v>
      </c>
      <c r="H431">
        <v>2025</v>
      </c>
      <c r="I431">
        <v>5</v>
      </c>
      <c r="J431" t="s">
        <v>75</v>
      </c>
      <c r="K431" s="1">
        <v>45804</v>
      </c>
      <c r="L431" t="s">
        <v>50</v>
      </c>
      <c r="M431" t="s">
        <v>39</v>
      </c>
      <c r="N431" t="b">
        <v>0</v>
      </c>
      <c r="O431">
        <v>1346</v>
      </c>
    </row>
    <row r="432" spans="1:15" x14ac:dyDescent="0.35">
      <c r="A432" s="1">
        <v>45831</v>
      </c>
      <c r="B432" t="s">
        <v>434</v>
      </c>
      <c r="C432" t="s">
        <v>16</v>
      </c>
      <c r="D432" t="s">
        <v>17</v>
      </c>
      <c r="E432">
        <v>-10.82</v>
      </c>
      <c r="F432" t="s">
        <v>435</v>
      </c>
      <c r="G432">
        <v>10.82</v>
      </c>
      <c r="H432">
        <v>2025</v>
      </c>
      <c r="I432">
        <v>6</v>
      </c>
      <c r="J432" t="s">
        <v>33</v>
      </c>
      <c r="K432" s="1">
        <v>45831</v>
      </c>
      <c r="L432" t="s">
        <v>38</v>
      </c>
      <c r="M432" t="s">
        <v>21</v>
      </c>
      <c r="N432" t="b">
        <v>1</v>
      </c>
      <c r="O432">
        <v>1267</v>
      </c>
    </row>
    <row r="433" spans="1:15" x14ac:dyDescent="0.35">
      <c r="A433" s="1">
        <v>45819</v>
      </c>
      <c r="B433" t="s">
        <v>363</v>
      </c>
      <c r="C433" t="s">
        <v>158</v>
      </c>
      <c r="D433" t="s">
        <v>36</v>
      </c>
      <c r="E433">
        <v>34.36</v>
      </c>
      <c r="F433" t="s">
        <v>364</v>
      </c>
      <c r="G433">
        <v>34.36</v>
      </c>
      <c r="H433">
        <v>2025</v>
      </c>
      <c r="I433">
        <v>6</v>
      </c>
      <c r="J433" t="s">
        <v>33</v>
      </c>
      <c r="K433" s="1">
        <v>45819</v>
      </c>
      <c r="L433" t="s">
        <v>58</v>
      </c>
      <c r="M433" t="s">
        <v>39</v>
      </c>
      <c r="N433" t="b">
        <v>0</v>
      </c>
      <c r="O433">
        <v>1347</v>
      </c>
    </row>
    <row r="434" spans="1:15" x14ac:dyDescent="0.35">
      <c r="A434" s="1">
        <v>45810</v>
      </c>
      <c r="B434" t="s">
        <v>207</v>
      </c>
      <c r="C434" t="s">
        <v>16</v>
      </c>
      <c r="D434" t="s">
        <v>36</v>
      </c>
      <c r="E434">
        <v>9.49</v>
      </c>
      <c r="F434" t="s">
        <v>207</v>
      </c>
      <c r="G434">
        <v>9.49</v>
      </c>
      <c r="H434">
        <v>2025</v>
      </c>
      <c r="I434">
        <v>6</v>
      </c>
      <c r="J434" t="s">
        <v>33</v>
      </c>
      <c r="K434" s="1">
        <v>45810</v>
      </c>
      <c r="L434" t="s">
        <v>38</v>
      </c>
      <c r="M434" t="s">
        <v>39</v>
      </c>
      <c r="N434" t="b">
        <v>1</v>
      </c>
      <c r="O434">
        <v>1269</v>
      </c>
    </row>
    <row r="435" spans="1:15" x14ac:dyDescent="0.35">
      <c r="A435" s="1">
        <v>45809</v>
      </c>
      <c r="B435" t="s">
        <v>434</v>
      </c>
      <c r="C435" t="s">
        <v>16</v>
      </c>
      <c r="D435" t="s">
        <v>36</v>
      </c>
      <c r="E435">
        <v>42.28</v>
      </c>
      <c r="F435" t="s">
        <v>435</v>
      </c>
      <c r="G435">
        <v>42.28</v>
      </c>
      <c r="H435">
        <v>2025</v>
      </c>
      <c r="I435">
        <v>6</v>
      </c>
      <c r="J435" t="s">
        <v>33</v>
      </c>
      <c r="K435" s="1">
        <v>45809</v>
      </c>
      <c r="L435" t="s">
        <v>41</v>
      </c>
      <c r="M435" t="s">
        <v>39</v>
      </c>
      <c r="N435" t="b">
        <v>1</v>
      </c>
      <c r="O435">
        <v>1284</v>
      </c>
    </row>
    <row r="436" spans="1:15" x14ac:dyDescent="0.35">
      <c r="A436" s="1">
        <v>45807</v>
      </c>
      <c r="B436" t="s">
        <v>84</v>
      </c>
      <c r="C436" t="s">
        <v>16</v>
      </c>
      <c r="D436" t="s">
        <v>36</v>
      </c>
      <c r="E436">
        <v>28.33</v>
      </c>
      <c r="F436" t="s">
        <v>84</v>
      </c>
      <c r="G436">
        <v>28.33</v>
      </c>
      <c r="H436">
        <v>2025</v>
      </c>
      <c r="I436">
        <v>5</v>
      </c>
      <c r="J436" t="s">
        <v>75</v>
      </c>
      <c r="K436" s="1">
        <v>45807</v>
      </c>
      <c r="L436" t="s">
        <v>31</v>
      </c>
      <c r="M436" t="s">
        <v>39</v>
      </c>
      <c r="N436" t="b">
        <v>1</v>
      </c>
      <c r="O436">
        <v>1287</v>
      </c>
    </row>
    <row r="437" spans="1:15" x14ac:dyDescent="0.35">
      <c r="A437" s="1">
        <v>45865</v>
      </c>
      <c r="B437" t="s">
        <v>437</v>
      </c>
      <c r="C437" t="s">
        <v>16</v>
      </c>
      <c r="D437" t="s">
        <v>17</v>
      </c>
      <c r="E437">
        <v>-14.1</v>
      </c>
      <c r="F437" t="s">
        <v>301</v>
      </c>
      <c r="G437">
        <v>14.1</v>
      </c>
      <c r="H437">
        <v>2025</v>
      </c>
      <c r="I437">
        <v>7</v>
      </c>
      <c r="J437" t="s">
        <v>73</v>
      </c>
      <c r="K437" s="1">
        <v>45865</v>
      </c>
      <c r="L437" t="s">
        <v>41</v>
      </c>
      <c r="M437" t="s">
        <v>21</v>
      </c>
      <c r="N437" t="b">
        <v>1</v>
      </c>
      <c r="O437">
        <v>1308</v>
      </c>
    </row>
    <row r="438" spans="1:15" x14ac:dyDescent="0.35">
      <c r="A438" s="1">
        <v>45865</v>
      </c>
      <c r="B438" t="s">
        <v>437</v>
      </c>
      <c r="C438" t="s">
        <v>16</v>
      </c>
      <c r="D438" t="s">
        <v>17</v>
      </c>
      <c r="E438">
        <v>-18.27</v>
      </c>
      <c r="F438" t="s">
        <v>301</v>
      </c>
      <c r="G438">
        <v>18.27</v>
      </c>
      <c r="H438">
        <v>2025</v>
      </c>
      <c r="I438">
        <v>7</v>
      </c>
      <c r="J438" t="s">
        <v>73</v>
      </c>
      <c r="K438" s="1">
        <v>45865</v>
      </c>
      <c r="L438" t="s">
        <v>41</v>
      </c>
      <c r="M438" t="s">
        <v>21</v>
      </c>
      <c r="N438" t="b">
        <v>1</v>
      </c>
      <c r="O438">
        <v>1309</v>
      </c>
    </row>
    <row r="439" spans="1:15" x14ac:dyDescent="0.35">
      <c r="A439" s="1">
        <v>45907</v>
      </c>
      <c r="B439" t="s">
        <v>438</v>
      </c>
      <c r="C439" t="s">
        <v>35</v>
      </c>
      <c r="D439" t="s">
        <v>36</v>
      </c>
      <c r="E439">
        <v>20</v>
      </c>
      <c r="F439" t="s">
        <v>399</v>
      </c>
      <c r="G439">
        <v>20</v>
      </c>
      <c r="H439">
        <v>2025</v>
      </c>
      <c r="I439">
        <v>9</v>
      </c>
      <c r="J439" t="s">
        <v>30</v>
      </c>
      <c r="K439" s="1">
        <v>45907</v>
      </c>
      <c r="L439" t="s">
        <v>41</v>
      </c>
      <c r="M439" t="s">
        <v>39</v>
      </c>
      <c r="N439" t="b">
        <v>1</v>
      </c>
      <c r="O439">
        <v>1432</v>
      </c>
    </row>
    <row r="440" spans="1:15" x14ac:dyDescent="0.35">
      <c r="A440" s="1">
        <v>45856</v>
      </c>
      <c r="B440" t="s">
        <v>416</v>
      </c>
      <c r="C440" t="s">
        <v>16</v>
      </c>
      <c r="D440" t="s">
        <v>36</v>
      </c>
      <c r="E440">
        <v>51.65</v>
      </c>
      <c r="F440" t="s">
        <v>301</v>
      </c>
      <c r="G440">
        <v>51.65</v>
      </c>
      <c r="H440">
        <v>2025</v>
      </c>
      <c r="I440">
        <v>7</v>
      </c>
      <c r="J440" t="s">
        <v>73</v>
      </c>
      <c r="K440" s="1">
        <v>45856</v>
      </c>
      <c r="L440" t="s">
        <v>31</v>
      </c>
      <c r="M440" t="s">
        <v>39</v>
      </c>
      <c r="N440" t="b">
        <v>1</v>
      </c>
      <c r="O440">
        <v>1310</v>
      </c>
    </row>
    <row r="441" spans="1:15" x14ac:dyDescent="0.35">
      <c r="A441" s="1">
        <v>45850</v>
      </c>
      <c r="B441" t="s">
        <v>300</v>
      </c>
      <c r="C441" t="s">
        <v>16</v>
      </c>
      <c r="D441" t="s">
        <v>36</v>
      </c>
      <c r="E441">
        <v>28.62</v>
      </c>
      <c r="F441" t="s">
        <v>301</v>
      </c>
      <c r="G441">
        <v>28.62</v>
      </c>
      <c r="H441">
        <v>2025</v>
      </c>
      <c r="I441">
        <v>7</v>
      </c>
      <c r="J441" t="s">
        <v>73</v>
      </c>
      <c r="K441" s="1">
        <v>45850</v>
      </c>
      <c r="L441" t="s">
        <v>20</v>
      </c>
      <c r="M441" t="s">
        <v>39</v>
      </c>
      <c r="N441" t="b">
        <v>1</v>
      </c>
      <c r="O441">
        <v>1311</v>
      </c>
    </row>
    <row r="442" spans="1:15" x14ac:dyDescent="0.35">
      <c r="A442" s="1">
        <v>45801</v>
      </c>
      <c r="B442" t="s">
        <v>84</v>
      </c>
      <c r="C442" t="s">
        <v>16</v>
      </c>
      <c r="D442" t="s">
        <v>36</v>
      </c>
      <c r="E442">
        <v>2.71</v>
      </c>
      <c r="F442" t="s">
        <v>84</v>
      </c>
      <c r="G442">
        <v>2.71</v>
      </c>
      <c r="H442">
        <v>2025</v>
      </c>
      <c r="I442">
        <v>5</v>
      </c>
      <c r="J442" t="s">
        <v>75</v>
      </c>
      <c r="K442" s="1">
        <v>45801</v>
      </c>
      <c r="L442" t="s">
        <v>20</v>
      </c>
      <c r="M442" t="s">
        <v>39</v>
      </c>
      <c r="N442" t="b">
        <v>1</v>
      </c>
      <c r="O442">
        <v>1315</v>
      </c>
    </row>
    <row r="443" spans="1:15" x14ac:dyDescent="0.35">
      <c r="A443" s="1">
        <v>45882</v>
      </c>
      <c r="B443" t="s">
        <v>404</v>
      </c>
      <c r="C443" t="s">
        <v>158</v>
      </c>
      <c r="D443" t="s">
        <v>368</v>
      </c>
      <c r="E443">
        <v>-20</v>
      </c>
      <c r="F443" t="s">
        <v>347</v>
      </c>
      <c r="G443">
        <v>20</v>
      </c>
      <c r="H443">
        <v>2025</v>
      </c>
      <c r="I443">
        <v>8</v>
      </c>
      <c r="J443" t="s">
        <v>71</v>
      </c>
      <c r="K443" s="1">
        <v>45882</v>
      </c>
      <c r="L443" t="s">
        <v>58</v>
      </c>
      <c r="M443" t="s">
        <v>21</v>
      </c>
      <c r="N443" t="b">
        <v>0</v>
      </c>
      <c r="O443">
        <v>1426</v>
      </c>
    </row>
    <row r="444" spans="1:15" x14ac:dyDescent="0.35">
      <c r="A444" s="1">
        <v>45800</v>
      </c>
      <c r="B444" t="s">
        <v>439</v>
      </c>
      <c r="C444" t="s">
        <v>158</v>
      </c>
      <c r="D444" t="s">
        <v>368</v>
      </c>
      <c r="E444">
        <v>-40</v>
      </c>
      <c r="F444" t="s">
        <v>184</v>
      </c>
      <c r="G444">
        <v>40</v>
      </c>
      <c r="H444">
        <v>2025</v>
      </c>
      <c r="I444">
        <v>5</v>
      </c>
      <c r="J444" t="s">
        <v>75</v>
      </c>
      <c r="K444" s="1">
        <v>45800</v>
      </c>
      <c r="L444" t="s">
        <v>31</v>
      </c>
      <c r="M444" t="s">
        <v>21</v>
      </c>
      <c r="N444" t="b">
        <v>0</v>
      </c>
      <c r="O444">
        <v>1469</v>
      </c>
    </row>
    <row r="445" spans="1:15" x14ac:dyDescent="0.35">
      <c r="A445" s="1">
        <v>45800</v>
      </c>
      <c r="B445" t="s">
        <v>440</v>
      </c>
      <c r="C445" t="s">
        <v>158</v>
      </c>
      <c r="D445" t="s">
        <v>368</v>
      </c>
      <c r="E445">
        <v>-40</v>
      </c>
      <c r="F445" t="s">
        <v>184</v>
      </c>
      <c r="G445">
        <v>40</v>
      </c>
      <c r="H445">
        <v>2025</v>
      </c>
      <c r="I445">
        <v>5</v>
      </c>
      <c r="J445" t="s">
        <v>75</v>
      </c>
      <c r="K445" s="1">
        <v>45800</v>
      </c>
      <c r="L445" t="s">
        <v>31</v>
      </c>
      <c r="M445" t="s">
        <v>21</v>
      </c>
      <c r="N445" t="b">
        <v>0</v>
      </c>
      <c r="O445">
        <v>1470</v>
      </c>
    </row>
    <row r="446" spans="1:15" x14ac:dyDescent="0.35">
      <c r="A446" s="1">
        <v>45975</v>
      </c>
      <c r="B446" t="s">
        <v>440</v>
      </c>
      <c r="C446" t="s">
        <v>158</v>
      </c>
      <c r="D446" t="s">
        <v>36</v>
      </c>
      <c r="E446">
        <v>40</v>
      </c>
      <c r="F446" t="s">
        <v>184</v>
      </c>
      <c r="G446">
        <v>40</v>
      </c>
      <c r="H446">
        <v>2025</v>
      </c>
      <c r="I446">
        <v>11</v>
      </c>
      <c r="J446" t="s">
        <v>68</v>
      </c>
      <c r="K446" s="1">
        <v>45975</v>
      </c>
      <c r="L446" t="s">
        <v>31</v>
      </c>
      <c r="M446" t="s">
        <v>39</v>
      </c>
      <c r="N446" t="b">
        <v>0</v>
      </c>
      <c r="O446">
        <v>1446</v>
      </c>
    </row>
    <row r="447" spans="1:15" x14ac:dyDescent="0.35">
      <c r="A447" s="1">
        <v>45941</v>
      </c>
      <c r="B447" t="s">
        <v>441</v>
      </c>
      <c r="C447" t="s">
        <v>16</v>
      </c>
      <c r="D447" t="s">
        <v>36</v>
      </c>
      <c r="E447">
        <v>15</v>
      </c>
      <c r="F447" t="s">
        <v>442</v>
      </c>
      <c r="G447">
        <v>15</v>
      </c>
      <c r="H447">
        <v>2025</v>
      </c>
      <c r="I447">
        <v>10</v>
      </c>
      <c r="J447" t="s">
        <v>57</v>
      </c>
      <c r="K447" s="1">
        <v>45941</v>
      </c>
      <c r="L447" t="s">
        <v>20</v>
      </c>
      <c r="M447" t="s">
        <v>39</v>
      </c>
      <c r="N447" t="b">
        <v>1</v>
      </c>
      <c r="O447">
        <v>1243</v>
      </c>
    </row>
    <row r="448" spans="1:15" x14ac:dyDescent="0.35">
      <c r="A448" s="1">
        <v>45852</v>
      </c>
      <c r="B448" t="s">
        <v>443</v>
      </c>
      <c r="C448" t="s">
        <v>218</v>
      </c>
      <c r="D448" t="s">
        <v>36</v>
      </c>
      <c r="E448">
        <v>462.8</v>
      </c>
      <c r="F448" t="s">
        <v>443</v>
      </c>
      <c r="G448">
        <v>462.8</v>
      </c>
      <c r="H448">
        <v>2025</v>
      </c>
      <c r="I448">
        <v>7</v>
      </c>
      <c r="J448" t="s">
        <v>73</v>
      </c>
      <c r="K448" s="1">
        <v>45852</v>
      </c>
      <c r="L448" t="s">
        <v>38</v>
      </c>
      <c r="M448" t="s">
        <v>39</v>
      </c>
      <c r="N448" t="b">
        <v>1</v>
      </c>
      <c r="O448">
        <v>1240</v>
      </c>
    </row>
    <row r="449" spans="1:15" x14ac:dyDescent="0.35">
      <c r="A449" s="1">
        <v>45780</v>
      </c>
      <c r="B449" t="s">
        <v>405</v>
      </c>
      <c r="C449" t="s">
        <v>406</v>
      </c>
      <c r="D449" t="s">
        <v>36</v>
      </c>
      <c r="E449">
        <v>25.18</v>
      </c>
      <c r="F449" t="s">
        <v>407</v>
      </c>
      <c r="G449">
        <v>25.18</v>
      </c>
      <c r="H449">
        <v>2025</v>
      </c>
      <c r="I449">
        <v>5</v>
      </c>
      <c r="J449" t="s">
        <v>75</v>
      </c>
      <c r="K449" s="1">
        <v>45780</v>
      </c>
      <c r="L449" t="s">
        <v>20</v>
      </c>
      <c r="M449" t="s">
        <v>39</v>
      </c>
      <c r="N449" t="b">
        <v>0</v>
      </c>
      <c r="O449">
        <v>733</v>
      </c>
    </row>
    <row r="450" spans="1:15" x14ac:dyDescent="0.35">
      <c r="A450" s="1">
        <v>46070</v>
      </c>
      <c r="B450" t="s">
        <v>122</v>
      </c>
      <c r="C450" t="s">
        <v>123</v>
      </c>
      <c r="D450" t="s">
        <v>36</v>
      </c>
      <c r="E450">
        <v>362</v>
      </c>
      <c r="F450" t="s">
        <v>124</v>
      </c>
      <c r="G450">
        <v>362</v>
      </c>
      <c r="H450">
        <v>2026</v>
      </c>
      <c r="I450">
        <v>2</v>
      </c>
      <c r="J450" t="s">
        <v>19</v>
      </c>
      <c r="K450" s="1">
        <v>46070</v>
      </c>
      <c r="L450" t="s">
        <v>50</v>
      </c>
      <c r="M450" t="s">
        <v>39</v>
      </c>
      <c r="N450" t="b">
        <v>0</v>
      </c>
      <c r="O450">
        <v>747</v>
      </c>
    </row>
    <row r="451" spans="1:15" x14ac:dyDescent="0.35">
      <c r="A451" s="1">
        <v>46070</v>
      </c>
      <c r="B451" t="s">
        <v>122</v>
      </c>
      <c r="C451" t="s">
        <v>123</v>
      </c>
      <c r="D451" t="s">
        <v>36</v>
      </c>
      <c r="E451">
        <v>289.60000000000002</v>
      </c>
      <c r="F451" t="s">
        <v>124</v>
      </c>
      <c r="G451">
        <v>289.60000000000002</v>
      </c>
      <c r="H451">
        <v>2026</v>
      </c>
      <c r="I451">
        <v>2</v>
      </c>
      <c r="J451" t="s">
        <v>19</v>
      </c>
      <c r="K451" s="1">
        <v>46070</v>
      </c>
      <c r="L451" t="s">
        <v>50</v>
      </c>
      <c r="M451" t="s">
        <v>39</v>
      </c>
      <c r="N451" t="b">
        <v>0</v>
      </c>
      <c r="O451">
        <v>748</v>
      </c>
    </row>
    <row r="452" spans="1:15" x14ac:dyDescent="0.35">
      <c r="A452" s="1">
        <v>45858</v>
      </c>
      <c r="B452" t="s">
        <v>409</v>
      </c>
      <c r="C452" t="s">
        <v>178</v>
      </c>
      <c r="D452" t="s">
        <v>36</v>
      </c>
      <c r="E452">
        <v>138.6</v>
      </c>
      <c r="F452" t="s">
        <v>179</v>
      </c>
      <c r="G452">
        <v>138.6</v>
      </c>
      <c r="H452">
        <v>2025</v>
      </c>
      <c r="I452">
        <v>7</v>
      </c>
      <c r="J452" t="s">
        <v>73</v>
      </c>
      <c r="K452" s="1">
        <v>45858</v>
      </c>
      <c r="L452" t="s">
        <v>41</v>
      </c>
      <c r="M452" t="s">
        <v>39</v>
      </c>
      <c r="N452" t="b">
        <v>0</v>
      </c>
      <c r="O452">
        <v>745</v>
      </c>
    </row>
    <row r="453" spans="1:15" x14ac:dyDescent="0.35">
      <c r="A453" s="1">
        <v>45979</v>
      </c>
      <c r="B453" t="s">
        <v>444</v>
      </c>
      <c r="C453" t="s">
        <v>367</v>
      </c>
      <c r="D453" t="s">
        <v>368</v>
      </c>
      <c r="E453">
        <v>-299.76</v>
      </c>
      <c r="F453" t="s">
        <v>445</v>
      </c>
      <c r="G453">
        <v>299.76</v>
      </c>
      <c r="H453">
        <v>2025</v>
      </c>
      <c r="I453">
        <v>11</v>
      </c>
      <c r="J453" t="s">
        <v>68</v>
      </c>
      <c r="K453" s="1">
        <v>45979</v>
      </c>
      <c r="L453" t="s">
        <v>50</v>
      </c>
      <c r="M453" t="s">
        <v>21</v>
      </c>
      <c r="N453" t="b">
        <v>0</v>
      </c>
      <c r="O453">
        <v>1412</v>
      </c>
    </row>
    <row r="454" spans="1:15" x14ac:dyDescent="0.35">
      <c r="A454" s="1">
        <v>45988</v>
      </c>
      <c r="B454" s="2" t="s">
        <v>366</v>
      </c>
      <c r="C454" t="s">
        <v>367</v>
      </c>
      <c r="D454" t="s">
        <v>368</v>
      </c>
      <c r="E454">
        <v>-624.37</v>
      </c>
      <c r="F454" t="s">
        <v>369</v>
      </c>
      <c r="G454">
        <v>624.37</v>
      </c>
      <c r="H454">
        <v>2025</v>
      </c>
      <c r="I454">
        <v>11</v>
      </c>
      <c r="J454" t="s">
        <v>68</v>
      </c>
      <c r="K454" s="1">
        <v>45988</v>
      </c>
      <c r="L454" t="s">
        <v>23</v>
      </c>
      <c r="M454" t="s">
        <v>21</v>
      </c>
      <c r="N454" t="b">
        <v>0</v>
      </c>
      <c r="O454">
        <v>1408</v>
      </c>
    </row>
    <row r="455" spans="1:15" x14ac:dyDescent="0.35">
      <c r="A455" s="1">
        <v>45957</v>
      </c>
      <c r="B455" s="2" t="s">
        <v>366</v>
      </c>
      <c r="C455" t="s">
        <v>367</v>
      </c>
      <c r="D455" t="s">
        <v>368</v>
      </c>
      <c r="E455">
        <v>-522.99</v>
      </c>
      <c r="F455" t="s">
        <v>369</v>
      </c>
      <c r="G455">
        <v>522.99</v>
      </c>
      <c r="H455">
        <v>2025</v>
      </c>
      <c r="I455">
        <v>10</v>
      </c>
      <c r="J455" t="s">
        <v>57</v>
      </c>
      <c r="K455" s="1">
        <v>45957</v>
      </c>
      <c r="L455" t="s">
        <v>38</v>
      </c>
      <c r="M455" t="s">
        <v>21</v>
      </c>
      <c r="N455" t="b">
        <v>0</v>
      </c>
      <c r="O455">
        <v>1416</v>
      </c>
    </row>
    <row r="456" spans="1:15" x14ac:dyDescent="0.35">
      <c r="A456" s="1">
        <v>46047</v>
      </c>
      <c r="B456" t="s">
        <v>446</v>
      </c>
      <c r="C456" t="s">
        <v>158</v>
      </c>
      <c r="D456" t="s">
        <v>36</v>
      </c>
      <c r="E456">
        <v>72</v>
      </c>
      <c r="F456" t="s">
        <v>447</v>
      </c>
      <c r="G456">
        <v>72</v>
      </c>
      <c r="H456">
        <v>2026</v>
      </c>
      <c r="I456">
        <v>1</v>
      </c>
      <c r="J456" t="s">
        <v>24</v>
      </c>
      <c r="K456" s="1">
        <v>46047</v>
      </c>
      <c r="L456" t="s">
        <v>41</v>
      </c>
      <c r="M456" t="s">
        <v>39</v>
      </c>
      <c r="N456" t="b">
        <v>0</v>
      </c>
      <c r="O456">
        <v>1445</v>
      </c>
    </row>
    <row r="457" spans="1:15" x14ac:dyDescent="0.35">
      <c r="A457" s="1">
        <v>45975</v>
      </c>
      <c r="B457" t="s">
        <v>448</v>
      </c>
      <c r="C457" t="s">
        <v>168</v>
      </c>
      <c r="D457" t="s">
        <v>36</v>
      </c>
      <c r="E457">
        <v>49.1</v>
      </c>
      <c r="F457" t="s">
        <v>449</v>
      </c>
      <c r="G457">
        <v>49.1</v>
      </c>
      <c r="H457">
        <v>2025</v>
      </c>
      <c r="I457">
        <v>11</v>
      </c>
      <c r="J457" t="s">
        <v>68</v>
      </c>
      <c r="K457" s="1">
        <v>45975</v>
      </c>
      <c r="L457" t="s">
        <v>31</v>
      </c>
      <c r="M457" t="s">
        <v>39</v>
      </c>
      <c r="N457" t="b">
        <v>0</v>
      </c>
      <c r="O457">
        <v>1447</v>
      </c>
    </row>
    <row r="458" spans="1:15" x14ac:dyDescent="0.35">
      <c r="A458" s="1">
        <v>45950</v>
      </c>
      <c r="B458" t="s">
        <v>409</v>
      </c>
      <c r="C458" t="s">
        <v>178</v>
      </c>
      <c r="D458" t="s">
        <v>36</v>
      </c>
      <c r="E458">
        <v>138.6</v>
      </c>
      <c r="F458" t="s">
        <v>179</v>
      </c>
      <c r="G458">
        <v>138.6</v>
      </c>
      <c r="H458">
        <v>2025</v>
      </c>
      <c r="I458">
        <v>10</v>
      </c>
      <c r="J458" t="s">
        <v>57</v>
      </c>
      <c r="K458" s="1">
        <v>45950</v>
      </c>
      <c r="L458" t="s">
        <v>38</v>
      </c>
      <c r="M458" t="s">
        <v>39</v>
      </c>
      <c r="N458" t="b">
        <v>0</v>
      </c>
      <c r="O458">
        <v>1453</v>
      </c>
    </row>
    <row r="459" spans="1:15" x14ac:dyDescent="0.35">
      <c r="A459" s="1">
        <v>45920</v>
      </c>
      <c r="B459" t="s">
        <v>409</v>
      </c>
      <c r="C459" t="s">
        <v>178</v>
      </c>
      <c r="D459" t="s">
        <v>36</v>
      </c>
      <c r="E459">
        <v>138.6</v>
      </c>
      <c r="F459" t="s">
        <v>179</v>
      </c>
      <c r="G459">
        <v>138.6</v>
      </c>
      <c r="H459">
        <v>2025</v>
      </c>
      <c r="I459">
        <v>9</v>
      </c>
      <c r="J459" t="s">
        <v>30</v>
      </c>
      <c r="K459" s="1">
        <v>45920</v>
      </c>
      <c r="L459" t="s">
        <v>20</v>
      </c>
      <c r="M459" t="s">
        <v>39</v>
      </c>
      <c r="N459" t="b">
        <v>0</v>
      </c>
      <c r="O459">
        <v>1454</v>
      </c>
    </row>
    <row r="460" spans="1:15" x14ac:dyDescent="0.35">
      <c r="A460" s="1">
        <v>45853</v>
      </c>
      <c r="B460" t="s">
        <v>294</v>
      </c>
      <c r="C460" t="s">
        <v>137</v>
      </c>
      <c r="D460" t="s">
        <v>36</v>
      </c>
      <c r="E460">
        <v>8.32</v>
      </c>
      <c r="F460" t="s">
        <v>221</v>
      </c>
      <c r="G460">
        <v>8.32</v>
      </c>
      <c r="H460">
        <v>2025</v>
      </c>
      <c r="I460">
        <v>7</v>
      </c>
      <c r="J460" t="s">
        <v>73</v>
      </c>
      <c r="K460" s="1">
        <v>45853</v>
      </c>
      <c r="L460" t="s">
        <v>50</v>
      </c>
      <c r="M460" t="s">
        <v>39</v>
      </c>
      <c r="N460" t="b">
        <v>1</v>
      </c>
      <c r="O460">
        <v>1241</v>
      </c>
    </row>
    <row r="461" spans="1:15" x14ac:dyDescent="0.35">
      <c r="A461" s="1">
        <v>45851</v>
      </c>
      <c r="B461" t="s">
        <v>450</v>
      </c>
      <c r="C461" t="s">
        <v>137</v>
      </c>
      <c r="D461" t="s">
        <v>36</v>
      </c>
      <c r="E461">
        <v>6.12</v>
      </c>
      <c r="F461" t="s">
        <v>451</v>
      </c>
      <c r="G461">
        <v>6.12</v>
      </c>
      <c r="H461">
        <v>2025</v>
      </c>
      <c r="I461">
        <v>7</v>
      </c>
      <c r="J461" t="s">
        <v>73</v>
      </c>
      <c r="K461" s="1">
        <v>45851</v>
      </c>
      <c r="L461" t="s">
        <v>41</v>
      </c>
      <c r="M461" t="s">
        <v>39</v>
      </c>
      <c r="N461" t="b">
        <v>1</v>
      </c>
      <c r="O461">
        <v>1249</v>
      </c>
    </row>
    <row r="462" spans="1:15" x14ac:dyDescent="0.35">
      <c r="A462" s="1">
        <v>45886</v>
      </c>
      <c r="B462" t="s">
        <v>452</v>
      </c>
      <c r="C462" t="s">
        <v>137</v>
      </c>
      <c r="D462" t="s">
        <v>36</v>
      </c>
      <c r="E462">
        <v>9.7200000000000006</v>
      </c>
      <c r="F462" t="s">
        <v>189</v>
      </c>
      <c r="G462">
        <v>9.7200000000000006</v>
      </c>
      <c r="H462">
        <v>2025</v>
      </c>
      <c r="I462">
        <v>8</v>
      </c>
      <c r="J462" t="s">
        <v>71</v>
      </c>
      <c r="K462" s="1">
        <v>45886</v>
      </c>
      <c r="L462" t="s">
        <v>41</v>
      </c>
      <c r="M462" t="s">
        <v>39</v>
      </c>
      <c r="N462" t="b">
        <v>1</v>
      </c>
      <c r="O462">
        <v>1250</v>
      </c>
    </row>
    <row r="463" spans="1:15" x14ac:dyDescent="0.35">
      <c r="A463" s="1">
        <v>45882</v>
      </c>
      <c r="B463" t="s">
        <v>453</v>
      </c>
      <c r="C463" t="s">
        <v>137</v>
      </c>
      <c r="D463" t="s">
        <v>36</v>
      </c>
      <c r="E463">
        <v>20.51</v>
      </c>
      <c r="F463" t="s">
        <v>189</v>
      </c>
      <c r="G463">
        <v>20.51</v>
      </c>
      <c r="H463">
        <v>2025</v>
      </c>
      <c r="I463">
        <v>8</v>
      </c>
      <c r="J463" t="s">
        <v>71</v>
      </c>
      <c r="K463" s="1">
        <v>45882</v>
      </c>
      <c r="L463" t="s">
        <v>58</v>
      </c>
      <c r="M463" t="s">
        <v>39</v>
      </c>
      <c r="N463" t="b">
        <v>1</v>
      </c>
      <c r="O463">
        <v>1251</v>
      </c>
    </row>
    <row r="464" spans="1:15" x14ac:dyDescent="0.35">
      <c r="A464" s="1">
        <v>45893</v>
      </c>
      <c r="B464" t="s">
        <v>454</v>
      </c>
      <c r="C464" t="s">
        <v>137</v>
      </c>
      <c r="D464" t="s">
        <v>36</v>
      </c>
      <c r="E464">
        <v>38.409999999999997</v>
      </c>
      <c r="F464" t="s">
        <v>235</v>
      </c>
      <c r="G464">
        <v>38.409999999999997</v>
      </c>
      <c r="H464">
        <v>2025</v>
      </c>
      <c r="I464">
        <v>8</v>
      </c>
      <c r="J464" t="s">
        <v>71</v>
      </c>
      <c r="K464" s="1">
        <v>45893</v>
      </c>
      <c r="L464" t="s">
        <v>41</v>
      </c>
      <c r="M464" t="s">
        <v>39</v>
      </c>
      <c r="N464" t="b">
        <v>1</v>
      </c>
      <c r="O464">
        <v>1256</v>
      </c>
    </row>
    <row r="465" spans="1:15" x14ac:dyDescent="0.35">
      <c r="A465" s="1">
        <v>45801</v>
      </c>
      <c r="B465" t="s">
        <v>84</v>
      </c>
      <c r="C465" t="s">
        <v>16</v>
      </c>
      <c r="D465" t="s">
        <v>36</v>
      </c>
      <c r="E465">
        <v>14.92</v>
      </c>
      <c r="F465" t="s">
        <v>84</v>
      </c>
      <c r="G465">
        <v>14.92</v>
      </c>
      <c r="H465">
        <v>2025</v>
      </c>
      <c r="I465">
        <v>5</v>
      </c>
      <c r="J465" t="s">
        <v>75</v>
      </c>
      <c r="K465" s="1">
        <v>45801</v>
      </c>
      <c r="L465" t="s">
        <v>20</v>
      </c>
      <c r="M465" t="s">
        <v>39</v>
      </c>
      <c r="N465" t="b">
        <v>1</v>
      </c>
      <c r="O465">
        <v>1329</v>
      </c>
    </row>
    <row r="466" spans="1:15" x14ac:dyDescent="0.35">
      <c r="A466" s="1">
        <v>45849</v>
      </c>
      <c r="B466" t="s">
        <v>416</v>
      </c>
      <c r="C466" t="s">
        <v>16</v>
      </c>
      <c r="D466" t="s">
        <v>36</v>
      </c>
      <c r="E466">
        <v>36.54</v>
      </c>
      <c r="F466" t="s">
        <v>301</v>
      </c>
      <c r="G466">
        <v>36.54</v>
      </c>
      <c r="H466">
        <v>2025</v>
      </c>
      <c r="I466">
        <v>7</v>
      </c>
      <c r="J466" t="s">
        <v>73</v>
      </c>
      <c r="K466" s="1">
        <v>45849</v>
      </c>
      <c r="L466" t="s">
        <v>31</v>
      </c>
      <c r="M466" t="s">
        <v>39</v>
      </c>
      <c r="N466" t="b">
        <v>1</v>
      </c>
      <c r="O466">
        <v>1355</v>
      </c>
    </row>
    <row r="467" spans="1:15" x14ac:dyDescent="0.35">
      <c r="A467" s="1">
        <v>45841</v>
      </c>
      <c r="B467" t="s">
        <v>416</v>
      </c>
      <c r="C467" t="s">
        <v>16</v>
      </c>
      <c r="D467" t="s">
        <v>36</v>
      </c>
      <c r="E467">
        <v>11.91</v>
      </c>
      <c r="F467" t="s">
        <v>301</v>
      </c>
      <c r="G467">
        <v>11.91</v>
      </c>
      <c r="H467">
        <v>2025</v>
      </c>
      <c r="I467">
        <v>7</v>
      </c>
      <c r="J467" t="s">
        <v>73</v>
      </c>
      <c r="K467" s="1">
        <v>45841</v>
      </c>
      <c r="L467" t="s">
        <v>23</v>
      </c>
      <c r="M467" t="s">
        <v>39</v>
      </c>
      <c r="N467" t="b">
        <v>1</v>
      </c>
      <c r="O467">
        <v>1356</v>
      </c>
    </row>
    <row r="468" spans="1:15" x14ac:dyDescent="0.35">
      <c r="A468" s="1">
        <v>45831</v>
      </c>
      <c r="B468" t="s">
        <v>416</v>
      </c>
      <c r="C468" t="s">
        <v>16</v>
      </c>
      <c r="D468" t="s">
        <v>17</v>
      </c>
      <c r="E468">
        <v>-15.78</v>
      </c>
      <c r="F468" t="s">
        <v>301</v>
      </c>
      <c r="G468">
        <v>15.78</v>
      </c>
      <c r="H468">
        <v>2025</v>
      </c>
      <c r="I468">
        <v>6</v>
      </c>
      <c r="J468" t="s">
        <v>33</v>
      </c>
      <c r="K468" s="1">
        <v>45831</v>
      </c>
      <c r="L468" t="s">
        <v>38</v>
      </c>
      <c r="M468" t="s">
        <v>21</v>
      </c>
      <c r="N468" t="b">
        <v>1</v>
      </c>
      <c r="O468">
        <v>1357</v>
      </c>
    </row>
    <row r="469" spans="1:15" x14ac:dyDescent="0.35">
      <c r="A469" s="1">
        <v>45819</v>
      </c>
      <c r="B469" t="s">
        <v>455</v>
      </c>
      <c r="C469" t="s">
        <v>35</v>
      </c>
      <c r="D469" t="s">
        <v>368</v>
      </c>
      <c r="E469">
        <v>-120</v>
      </c>
      <c r="F469" t="s">
        <v>387</v>
      </c>
      <c r="G469">
        <v>120</v>
      </c>
      <c r="H469">
        <v>2025</v>
      </c>
      <c r="I469">
        <v>6</v>
      </c>
      <c r="J469" t="s">
        <v>33</v>
      </c>
      <c r="K469" s="1">
        <v>45819</v>
      </c>
      <c r="L469" t="s">
        <v>58</v>
      </c>
      <c r="M469" t="s">
        <v>21</v>
      </c>
      <c r="N469" t="b">
        <v>1</v>
      </c>
      <c r="O469">
        <v>1480</v>
      </c>
    </row>
    <row r="470" spans="1:15" x14ac:dyDescent="0.35">
      <c r="A470" s="1">
        <v>45831</v>
      </c>
      <c r="B470" t="s">
        <v>416</v>
      </c>
      <c r="C470" t="s">
        <v>16</v>
      </c>
      <c r="D470" t="s">
        <v>17</v>
      </c>
      <c r="E470">
        <v>-10.81</v>
      </c>
      <c r="F470" t="s">
        <v>301</v>
      </c>
      <c r="G470">
        <v>10.81</v>
      </c>
      <c r="H470">
        <v>2025</v>
      </c>
      <c r="I470">
        <v>6</v>
      </c>
      <c r="J470" t="s">
        <v>33</v>
      </c>
      <c r="K470" s="1">
        <v>45831</v>
      </c>
      <c r="L470" t="s">
        <v>38</v>
      </c>
      <c r="M470" t="s">
        <v>21</v>
      </c>
      <c r="N470" t="b">
        <v>1</v>
      </c>
      <c r="O470">
        <v>1358</v>
      </c>
    </row>
    <row r="471" spans="1:15" x14ac:dyDescent="0.35">
      <c r="A471" s="1">
        <v>45813</v>
      </c>
      <c r="B471" t="s">
        <v>300</v>
      </c>
      <c r="C471" t="s">
        <v>16</v>
      </c>
      <c r="D471" t="s">
        <v>36</v>
      </c>
      <c r="E471">
        <v>12.33</v>
      </c>
      <c r="F471" t="s">
        <v>301</v>
      </c>
      <c r="G471">
        <v>12.33</v>
      </c>
      <c r="H471">
        <v>2025</v>
      </c>
      <c r="I471">
        <v>6</v>
      </c>
      <c r="J471" t="s">
        <v>33</v>
      </c>
      <c r="K471" s="1">
        <v>45813</v>
      </c>
      <c r="L471" t="s">
        <v>23</v>
      </c>
      <c r="M471" t="s">
        <v>39</v>
      </c>
      <c r="N471" t="b">
        <v>1</v>
      </c>
      <c r="O471">
        <v>1359</v>
      </c>
    </row>
    <row r="472" spans="1:15" x14ac:dyDescent="0.35">
      <c r="A472" s="1">
        <v>46039</v>
      </c>
      <c r="B472" t="s">
        <v>456</v>
      </c>
      <c r="C472" t="s">
        <v>35</v>
      </c>
      <c r="D472" t="s">
        <v>36</v>
      </c>
      <c r="E472">
        <v>176.96</v>
      </c>
      <c r="F472" t="s">
        <v>457</v>
      </c>
      <c r="G472">
        <v>176.96</v>
      </c>
      <c r="H472">
        <v>2026</v>
      </c>
      <c r="I472">
        <v>1</v>
      </c>
      <c r="J472" t="s">
        <v>24</v>
      </c>
      <c r="K472" s="1">
        <v>46039</v>
      </c>
      <c r="L472" t="s">
        <v>20</v>
      </c>
      <c r="M472" t="s">
        <v>39</v>
      </c>
      <c r="N472" t="b">
        <v>1</v>
      </c>
      <c r="O472">
        <v>1042</v>
      </c>
    </row>
    <row r="473" spans="1:15" x14ac:dyDescent="0.35">
      <c r="A473" s="1">
        <v>46051</v>
      </c>
      <c r="B473" s="2" t="s">
        <v>458</v>
      </c>
      <c r="C473" t="s">
        <v>16</v>
      </c>
      <c r="D473" t="s">
        <v>36</v>
      </c>
      <c r="E473">
        <v>206.04</v>
      </c>
      <c r="F473" t="s">
        <v>459</v>
      </c>
      <c r="G473">
        <v>206.04</v>
      </c>
      <c r="H473">
        <v>2026</v>
      </c>
      <c r="I473">
        <v>1</v>
      </c>
      <c r="J473" t="s">
        <v>24</v>
      </c>
      <c r="K473" s="1">
        <v>46051</v>
      </c>
      <c r="L473" t="s">
        <v>23</v>
      </c>
      <c r="M473" t="s">
        <v>39</v>
      </c>
      <c r="N473" t="b">
        <v>1</v>
      </c>
      <c r="O473">
        <v>1387</v>
      </c>
    </row>
    <row r="474" spans="1:15" x14ac:dyDescent="0.35">
      <c r="A474" s="1">
        <v>45819</v>
      </c>
      <c r="B474" t="s">
        <v>455</v>
      </c>
      <c r="C474" t="s">
        <v>35</v>
      </c>
      <c r="D474" t="s">
        <v>368</v>
      </c>
      <c r="E474">
        <v>-120</v>
      </c>
      <c r="F474" t="s">
        <v>387</v>
      </c>
      <c r="G474">
        <v>120</v>
      </c>
      <c r="H474">
        <v>2025</v>
      </c>
      <c r="I474">
        <v>6</v>
      </c>
      <c r="J474" t="s">
        <v>33</v>
      </c>
      <c r="K474" s="1">
        <v>45819</v>
      </c>
      <c r="L474" t="s">
        <v>58</v>
      </c>
      <c r="M474" t="s">
        <v>21</v>
      </c>
      <c r="N474" t="b">
        <v>1</v>
      </c>
      <c r="O474">
        <v>1481</v>
      </c>
    </row>
    <row r="475" spans="1:15" x14ac:dyDescent="0.35">
      <c r="A475" s="1">
        <v>46039</v>
      </c>
      <c r="B475" s="2" t="s">
        <v>460</v>
      </c>
      <c r="C475" t="s">
        <v>16</v>
      </c>
      <c r="D475" t="s">
        <v>17</v>
      </c>
      <c r="E475">
        <v>-36.35</v>
      </c>
      <c r="F475" t="s">
        <v>265</v>
      </c>
      <c r="G475">
        <v>36.35</v>
      </c>
      <c r="H475">
        <v>2026</v>
      </c>
      <c r="I475">
        <v>1</v>
      </c>
      <c r="J475" t="s">
        <v>24</v>
      </c>
      <c r="K475" s="1">
        <v>46039</v>
      </c>
      <c r="L475" t="s">
        <v>20</v>
      </c>
      <c r="M475" t="s">
        <v>21</v>
      </c>
      <c r="N475" t="b">
        <v>1</v>
      </c>
      <c r="O475">
        <v>1389</v>
      </c>
    </row>
    <row r="476" spans="1:15" x14ac:dyDescent="0.35">
      <c r="A476" s="1">
        <v>46065</v>
      </c>
      <c r="B476" t="s">
        <v>300</v>
      </c>
      <c r="C476" t="s">
        <v>16</v>
      </c>
      <c r="D476" t="s">
        <v>36</v>
      </c>
      <c r="E476">
        <v>10.84</v>
      </c>
      <c r="F476" t="s">
        <v>301</v>
      </c>
      <c r="G476">
        <v>10.84</v>
      </c>
      <c r="H476">
        <v>2026</v>
      </c>
      <c r="I476">
        <v>2</v>
      </c>
      <c r="J476" t="s">
        <v>19</v>
      </c>
      <c r="K476" s="1">
        <v>46065</v>
      </c>
      <c r="L476" t="s">
        <v>23</v>
      </c>
      <c r="M476" t="s">
        <v>39</v>
      </c>
      <c r="N476" t="b">
        <v>1</v>
      </c>
      <c r="O476">
        <v>1392</v>
      </c>
    </row>
    <row r="477" spans="1:15" x14ac:dyDescent="0.35">
      <c r="A477" s="1">
        <v>45810</v>
      </c>
      <c r="B477" t="s">
        <v>300</v>
      </c>
      <c r="C477" t="s">
        <v>16</v>
      </c>
      <c r="D477" t="s">
        <v>36</v>
      </c>
      <c r="E477">
        <v>23.06</v>
      </c>
      <c r="F477" t="s">
        <v>301</v>
      </c>
      <c r="G477">
        <v>23.06</v>
      </c>
      <c r="H477">
        <v>2025</v>
      </c>
      <c r="I477">
        <v>6</v>
      </c>
      <c r="J477" t="s">
        <v>33</v>
      </c>
      <c r="K477" s="1">
        <v>45810</v>
      </c>
      <c r="L477" t="s">
        <v>38</v>
      </c>
      <c r="M477" t="s">
        <v>39</v>
      </c>
      <c r="N477" t="b">
        <v>1</v>
      </c>
      <c r="O477">
        <v>1393</v>
      </c>
    </row>
    <row r="478" spans="1:15" x14ac:dyDescent="0.35">
      <c r="A478" s="1">
        <v>46105</v>
      </c>
      <c r="B478" t="s">
        <v>461</v>
      </c>
      <c r="C478" t="s">
        <v>16</v>
      </c>
      <c r="D478" t="s">
        <v>36</v>
      </c>
      <c r="E478">
        <v>31.36</v>
      </c>
      <c r="F478" t="s">
        <v>301</v>
      </c>
      <c r="G478">
        <v>31.36</v>
      </c>
      <c r="H478">
        <v>2026</v>
      </c>
      <c r="I478">
        <v>3</v>
      </c>
      <c r="J478" t="s">
        <v>48</v>
      </c>
      <c r="K478" s="1">
        <v>46105</v>
      </c>
      <c r="L478" t="s">
        <v>50</v>
      </c>
      <c r="M478" t="s">
        <v>39</v>
      </c>
      <c r="N478" t="b">
        <v>1</v>
      </c>
      <c r="O478">
        <v>1394</v>
      </c>
    </row>
    <row r="479" spans="1:15" x14ac:dyDescent="0.35">
      <c r="A479" s="1">
        <v>45998</v>
      </c>
      <c r="B479" t="s">
        <v>462</v>
      </c>
      <c r="C479" t="s">
        <v>16</v>
      </c>
      <c r="D479" t="s">
        <v>17</v>
      </c>
      <c r="E479">
        <v>-16.45</v>
      </c>
      <c r="F479" t="s">
        <v>463</v>
      </c>
      <c r="G479">
        <v>16.45</v>
      </c>
      <c r="H479">
        <v>2025</v>
      </c>
      <c r="I479">
        <v>12</v>
      </c>
      <c r="J479" t="s">
        <v>66</v>
      </c>
      <c r="K479" s="1">
        <v>45998</v>
      </c>
      <c r="L479" t="s">
        <v>41</v>
      </c>
      <c r="M479" t="s">
        <v>21</v>
      </c>
      <c r="N479" t="b">
        <v>1</v>
      </c>
      <c r="O479">
        <v>1398</v>
      </c>
    </row>
    <row r="480" spans="1:15" x14ac:dyDescent="0.35">
      <c r="A480" s="1">
        <v>46104</v>
      </c>
      <c r="B480" t="s">
        <v>461</v>
      </c>
      <c r="C480" t="s">
        <v>16</v>
      </c>
      <c r="D480" t="s">
        <v>36</v>
      </c>
      <c r="E480">
        <v>12.17</v>
      </c>
      <c r="F480" t="s">
        <v>301</v>
      </c>
      <c r="G480">
        <v>12.17</v>
      </c>
      <c r="H480">
        <v>2026</v>
      </c>
      <c r="I480">
        <v>3</v>
      </c>
      <c r="J480" t="s">
        <v>48</v>
      </c>
      <c r="K480" s="1">
        <v>46104</v>
      </c>
      <c r="L480" t="s">
        <v>38</v>
      </c>
      <c r="M480" t="s">
        <v>39</v>
      </c>
      <c r="N480" t="b">
        <v>1</v>
      </c>
      <c r="O480">
        <v>1396</v>
      </c>
    </row>
    <row r="481" spans="1:15" x14ac:dyDescent="0.35">
      <c r="A481" s="1">
        <v>45997</v>
      </c>
      <c r="B481" t="s">
        <v>462</v>
      </c>
      <c r="C481" t="s">
        <v>16</v>
      </c>
      <c r="D481" t="s">
        <v>17</v>
      </c>
      <c r="E481">
        <v>-9.6199999999999992</v>
      </c>
      <c r="F481" t="s">
        <v>463</v>
      </c>
      <c r="G481">
        <v>9.6199999999999992</v>
      </c>
      <c r="H481">
        <v>2025</v>
      </c>
      <c r="I481">
        <v>12</v>
      </c>
      <c r="J481" t="s">
        <v>66</v>
      </c>
      <c r="K481" s="1">
        <v>45997</v>
      </c>
      <c r="L481" t="s">
        <v>20</v>
      </c>
      <c r="M481" t="s">
        <v>21</v>
      </c>
      <c r="N481" t="b">
        <v>1</v>
      </c>
      <c r="O481">
        <v>1399</v>
      </c>
    </row>
    <row r="482" spans="1:15" x14ac:dyDescent="0.35">
      <c r="A482" s="1">
        <v>45999</v>
      </c>
      <c r="B482" t="s">
        <v>165</v>
      </c>
      <c r="C482" t="s">
        <v>123</v>
      </c>
      <c r="D482" t="s">
        <v>36</v>
      </c>
      <c r="E482">
        <v>140</v>
      </c>
      <c r="F482" t="s">
        <v>166</v>
      </c>
      <c r="G482">
        <v>140</v>
      </c>
      <c r="H482">
        <v>2025</v>
      </c>
      <c r="I482">
        <v>12</v>
      </c>
      <c r="J482" t="s">
        <v>66</v>
      </c>
      <c r="K482" s="1">
        <v>45999</v>
      </c>
      <c r="L482" t="s">
        <v>38</v>
      </c>
      <c r="M482" t="s">
        <v>39</v>
      </c>
      <c r="N482" t="b">
        <v>0</v>
      </c>
      <c r="O482">
        <v>412</v>
      </c>
    </row>
    <row r="483" spans="1:15" x14ac:dyDescent="0.35">
      <c r="A483" s="1">
        <v>45997</v>
      </c>
      <c r="B483" t="s">
        <v>462</v>
      </c>
      <c r="C483" t="s">
        <v>16</v>
      </c>
      <c r="D483" t="s">
        <v>17</v>
      </c>
      <c r="E483">
        <v>-13.68</v>
      </c>
      <c r="F483" t="s">
        <v>463</v>
      </c>
      <c r="G483">
        <v>13.68</v>
      </c>
      <c r="H483">
        <v>2025</v>
      </c>
      <c r="I483">
        <v>12</v>
      </c>
      <c r="J483" t="s">
        <v>66</v>
      </c>
      <c r="K483" s="1">
        <v>45997</v>
      </c>
      <c r="L483" t="s">
        <v>20</v>
      </c>
      <c r="M483" t="s">
        <v>21</v>
      </c>
      <c r="N483" t="b">
        <v>1</v>
      </c>
      <c r="O483">
        <v>1400</v>
      </c>
    </row>
    <row r="484" spans="1:15" x14ac:dyDescent="0.35">
      <c r="A484" s="1">
        <v>46101</v>
      </c>
      <c r="B484" t="s">
        <v>461</v>
      </c>
      <c r="C484" t="s">
        <v>16</v>
      </c>
      <c r="D484" t="s">
        <v>36</v>
      </c>
      <c r="E484">
        <v>69.52</v>
      </c>
      <c r="F484" t="s">
        <v>301</v>
      </c>
      <c r="G484">
        <v>69.52</v>
      </c>
      <c r="H484">
        <v>2026</v>
      </c>
      <c r="I484">
        <v>3</v>
      </c>
      <c r="J484" t="s">
        <v>48</v>
      </c>
      <c r="K484" s="1">
        <v>46101</v>
      </c>
      <c r="L484" t="s">
        <v>31</v>
      </c>
      <c r="M484" t="s">
        <v>39</v>
      </c>
      <c r="N484" t="b">
        <v>1</v>
      </c>
      <c r="O484">
        <v>1397</v>
      </c>
    </row>
    <row r="485" spans="1:15" x14ac:dyDescent="0.35">
      <c r="A485" s="1">
        <v>45789</v>
      </c>
      <c r="B485" t="s">
        <v>292</v>
      </c>
      <c r="C485" t="s">
        <v>137</v>
      </c>
      <c r="D485" t="s">
        <v>36</v>
      </c>
      <c r="E485">
        <v>19.23</v>
      </c>
      <c r="F485" t="s">
        <v>293</v>
      </c>
      <c r="G485">
        <v>19.23</v>
      </c>
      <c r="H485">
        <v>2025</v>
      </c>
      <c r="I485">
        <v>5</v>
      </c>
      <c r="J485" t="s">
        <v>75</v>
      </c>
      <c r="K485" s="1">
        <v>45789</v>
      </c>
      <c r="L485" t="s">
        <v>38</v>
      </c>
      <c r="M485" t="s">
        <v>39</v>
      </c>
      <c r="N485" t="b">
        <v>1</v>
      </c>
      <c r="O485">
        <v>1326</v>
      </c>
    </row>
    <row r="486" spans="1:15" x14ac:dyDescent="0.35">
      <c r="A486" s="1">
        <v>45787</v>
      </c>
      <c r="B486" t="s">
        <v>464</v>
      </c>
      <c r="C486" t="s">
        <v>137</v>
      </c>
      <c r="D486" t="s">
        <v>36</v>
      </c>
      <c r="E486">
        <v>8</v>
      </c>
      <c r="F486" t="s">
        <v>427</v>
      </c>
      <c r="G486">
        <v>8</v>
      </c>
      <c r="H486">
        <v>2025</v>
      </c>
      <c r="I486">
        <v>5</v>
      </c>
      <c r="J486" t="s">
        <v>75</v>
      </c>
      <c r="K486" s="1">
        <v>45787</v>
      </c>
      <c r="L486" t="s">
        <v>20</v>
      </c>
      <c r="M486" t="s">
        <v>39</v>
      </c>
      <c r="N486" t="b">
        <v>1</v>
      </c>
      <c r="O486">
        <v>1332</v>
      </c>
    </row>
    <row r="487" spans="1:15" x14ac:dyDescent="0.35">
      <c r="A487" s="1">
        <v>46087</v>
      </c>
      <c r="B487" t="s">
        <v>465</v>
      </c>
      <c r="C487" t="s">
        <v>35</v>
      </c>
      <c r="D487" t="s">
        <v>36</v>
      </c>
      <c r="E487">
        <v>261.60000000000002</v>
      </c>
      <c r="F487" t="s">
        <v>466</v>
      </c>
      <c r="G487">
        <v>261.60000000000002</v>
      </c>
      <c r="H487">
        <v>2026</v>
      </c>
      <c r="I487">
        <v>3</v>
      </c>
      <c r="J487" t="s">
        <v>48</v>
      </c>
      <c r="K487" s="1">
        <v>46087</v>
      </c>
      <c r="L487" t="s">
        <v>31</v>
      </c>
      <c r="M487" t="s">
        <v>39</v>
      </c>
      <c r="N487" t="b">
        <v>1</v>
      </c>
      <c r="O487">
        <v>1014</v>
      </c>
    </row>
    <row r="488" spans="1:15" x14ac:dyDescent="0.35">
      <c r="A488" s="1">
        <v>45780</v>
      </c>
      <c r="B488" t="s">
        <v>467</v>
      </c>
      <c r="C488" t="s">
        <v>137</v>
      </c>
      <c r="D488" t="s">
        <v>36</v>
      </c>
      <c r="E488">
        <v>38.71</v>
      </c>
      <c r="F488" t="s">
        <v>235</v>
      </c>
      <c r="G488">
        <v>38.71</v>
      </c>
      <c r="H488">
        <v>2025</v>
      </c>
      <c r="I488">
        <v>5</v>
      </c>
      <c r="J488" t="s">
        <v>75</v>
      </c>
      <c r="K488" s="1">
        <v>45780</v>
      </c>
      <c r="L488" t="s">
        <v>20</v>
      </c>
      <c r="M488" t="s">
        <v>39</v>
      </c>
      <c r="N488" t="b">
        <v>1</v>
      </c>
      <c r="O488">
        <v>1360</v>
      </c>
    </row>
    <row r="489" spans="1:15" x14ac:dyDescent="0.35">
      <c r="A489" s="1">
        <v>46003</v>
      </c>
      <c r="B489" t="s">
        <v>462</v>
      </c>
      <c r="C489" t="s">
        <v>16</v>
      </c>
      <c r="D489" t="s">
        <v>36</v>
      </c>
      <c r="E489">
        <v>88.66</v>
      </c>
      <c r="F489" t="s">
        <v>463</v>
      </c>
      <c r="G489">
        <v>88.66</v>
      </c>
      <c r="H489">
        <v>2025</v>
      </c>
      <c r="I489">
        <v>12</v>
      </c>
      <c r="J489" t="s">
        <v>66</v>
      </c>
      <c r="K489" s="1">
        <v>46003</v>
      </c>
      <c r="L489" t="s">
        <v>31</v>
      </c>
      <c r="M489" t="s">
        <v>39</v>
      </c>
      <c r="N489" t="b">
        <v>1</v>
      </c>
      <c r="O489">
        <v>1409</v>
      </c>
    </row>
    <row r="490" spans="1:15" x14ac:dyDescent="0.35">
      <c r="A490" s="1">
        <v>45952</v>
      </c>
      <c r="B490" t="s">
        <v>462</v>
      </c>
      <c r="C490" t="s">
        <v>16</v>
      </c>
      <c r="D490" t="s">
        <v>36</v>
      </c>
      <c r="E490">
        <v>183.27</v>
      </c>
      <c r="F490" t="s">
        <v>463</v>
      </c>
      <c r="G490">
        <v>183.27</v>
      </c>
      <c r="H490">
        <v>2025</v>
      </c>
      <c r="I490">
        <v>10</v>
      </c>
      <c r="J490" t="s">
        <v>57</v>
      </c>
      <c r="K490" s="1">
        <v>45952</v>
      </c>
      <c r="L490" t="s">
        <v>58</v>
      </c>
      <c r="M490" t="s">
        <v>39</v>
      </c>
      <c r="N490" t="b">
        <v>1</v>
      </c>
      <c r="O490">
        <v>1410</v>
      </c>
    </row>
    <row r="491" spans="1:15" x14ac:dyDescent="0.35">
      <c r="A491" s="1">
        <v>45952</v>
      </c>
      <c r="B491" t="s">
        <v>462</v>
      </c>
      <c r="C491" t="s">
        <v>16</v>
      </c>
      <c r="D491" t="s">
        <v>36</v>
      </c>
      <c r="E491">
        <v>15.33</v>
      </c>
      <c r="F491" t="s">
        <v>463</v>
      </c>
      <c r="G491">
        <v>15.33</v>
      </c>
      <c r="H491">
        <v>2025</v>
      </c>
      <c r="I491">
        <v>10</v>
      </c>
      <c r="J491" t="s">
        <v>57</v>
      </c>
      <c r="K491" s="1">
        <v>45952</v>
      </c>
      <c r="L491" t="s">
        <v>58</v>
      </c>
      <c r="M491" t="s">
        <v>39</v>
      </c>
      <c r="N491" t="b">
        <v>1</v>
      </c>
      <c r="O491">
        <v>1411</v>
      </c>
    </row>
    <row r="492" spans="1:15" x14ac:dyDescent="0.35">
      <c r="A492" s="1">
        <v>45927</v>
      </c>
      <c r="B492" s="2" t="s">
        <v>468</v>
      </c>
      <c r="C492" t="s">
        <v>367</v>
      </c>
      <c r="D492" t="s">
        <v>368</v>
      </c>
      <c r="E492">
        <v>-462.56</v>
      </c>
      <c r="F492" t="s">
        <v>369</v>
      </c>
      <c r="G492">
        <v>462.56</v>
      </c>
      <c r="H492">
        <v>2025</v>
      </c>
      <c r="I492">
        <v>9</v>
      </c>
      <c r="J492" t="s">
        <v>30</v>
      </c>
      <c r="K492" s="1">
        <v>45927</v>
      </c>
      <c r="L492" t="s">
        <v>20</v>
      </c>
      <c r="M492" t="s">
        <v>21</v>
      </c>
      <c r="N492" t="b">
        <v>0</v>
      </c>
      <c r="O492">
        <v>674</v>
      </c>
    </row>
    <row r="493" spans="1:15" x14ac:dyDescent="0.35">
      <c r="A493" s="1">
        <v>45896</v>
      </c>
      <c r="B493" t="s">
        <v>469</v>
      </c>
      <c r="C493" t="s">
        <v>367</v>
      </c>
      <c r="D493" t="s">
        <v>368</v>
      </c>
      <c r="E493">
        <v>-948.97</v>
      </c>
      <c r="F493" t="s">
        <v>369</v>
      </c>
      <c r="G493">
        <v>948.97</v>
      </c>
      <c r="H493">
        <v>2025</v>
      </c>
      <c r="I493">
        <v>8</v>
      </c>
      <c r="J493" t="s">
        <v>71</v>
      </c>
      <c r="K493" s="1">
        <v>45896</v>
      </c>
      <c r="L493" t="s">
        <v>58</v>
      </c>
      <c r="M493" t="s">
        <v>21</v>
      </c>
      <c r="N493" t="b">
        <v>0</v>
      </c>
      <c r="O493">
        <v>675</v>
      </c>
    </row>
    <row r="494" spans="1:15" x14ac:dyDescent="0.35">
      <c r="A494" s="1">
        <v>45804</v>
      </c>
      <c r="B494" s="2" t="s">
        <v>366</v>
      </c>
      <c r="C494" t="s">
        <v>367</v>
      </c>
      <c r="D494" t="s">
        <v>368</v>
      </c>
      <c r="E494">
        <v>-1465.1</v>
      </c>
      <c r="F494" t="s">
        <v>369</v>
      </c>
      <c r="G494">
        <v>1465.1</v>
      </c>
      <c r="H494">
        <v>2025</v>
      </c>
      <c r="I494">
        <v>5</v>
      </c>
      <c r="J494" t="s">
        <v>75</v>
      </c>
      <c r="K494" s="1">
        <v>45804</v>
      </c>
      <c r="L494" t="s">
        <v>50</v>
      </c>
      <c r="M494" t="s">
        <v>21</v>
      </c>
      <c r="N494" t="b">
        <v>0</v>
      </c>
      <c r="O494">
        <v>739</v>
      </c>
    </row>
    <row r="495" spans="1:15" x14ac:dyDescent="0.35">
      <c r="A495" s="1">
        <v>46039</v>
      </c>
      <c r="B495" t="s">
        <v>465</v>
      </c>
      <c r="C495" t="s">
        <v>35</v>
      </c>
      <c r="D495" t="s">
        <v>36</v>
      </c>
      <c r="E495">
        <v>133.5</v>
      </c>
      <c r="F495" t="s">
        <v>466</v>
      </c>
      <c r="G495">
        <v>133.5</v>
      </c>
      <c r="H495">
        <v>2026</v>
      </c>
      <c r="I495">
        <v>1</v>
      </c>
      <c r="J495" t="s">
        <v>24</v>
      </c>
      <c r="K495" s="1">
        <v>46039</v>
      </c>
      <c r="L495" t="s">
        <v>20</v>
      </c>
      <c r="M495" t="s">
        <v>39</v>
      </c>
      <c r="N495" t="b">
        <v>1</v>
      </c>
      <c r="O495">
        <v>1020</v>
      </c>
    </row>
    <row r="496" spans="1:15" x14ac:dyDescent="0.35">
      <c r="A496" s="1">
        <v>46039</v>
      </c>
      <c r="B496" t="s">
        <v>465</v>
      </c>
      <c r="C496" t="s">
        <v>35</v>
      </c>
      <c r="D496" t="s">
        <v>36</v>
      </c>
      <c r="E496">
        <v>195.84</v>
      </c>
      <c r="F496" t="s">
        <v>466</v>
      </c>
      <c r="G496">
        <v>195.84</v>
      </c>
      <c r="H496">
        <v>2026</v>
      </c>
      <c r="I496">
        <v>1</v>
      </c>
      <c r="J496" t="s">
        <v>24</v>
      </c>
      <c r="K496" s="1">
        <v>46039</v>
      </c>
      <c r="L496" t="s">
        <v>20</v>
      </c>
      <c r="M496" t="s">
        <v>39</v>
      </c>
      <c r="N496" t="b">
        <v>1</v>
      </c>
      <c r="O496">
        <v>1032</v>
      </c>
    </row>
    <row r="497" spans="1:15" x14ac:dyDescent="0.35">
      <c r="A497" s="1">
        <v>46012</v>
      </c>
      <c r="B497" s="2" t="s">
        <v>470</v>
      </c>
      <c r="C497" t="s">
        <v>16</v>
      </c>
      <c r="D497" t="s">
        <v>36</v>
      </c>
      <c r="E497">
        <v>72.7</v>
      </c>
      <c r="F497" t="s">
        <v>265</v>
      </c>
      <c r="G497">
        <v>72.7</v>
      </c>
      <c r="H497">
        <v>2025</v>
      </c>
      <c r="I497">
        <v>12</v>
      </c>
      <c r="J497" t="s">
        <v>66</v>
      </c>
      <c r="K497" s="1">
        <v>46012</v>
      </c>
      <c r="L497" t="s">
        <v>41</v>
      </c>
      <c r="M497" t="s">
        <v>39</v>
      </c>
      <c r="N497" t="b">
        <v>1</v>
      </c>
      <c r="O497">
        <v>1417</v>
      </c>
    </row>
    <row r="498" spans="1:15" x14ac:dyDescent="0.35">
      <c r="A498" s="1">
        <v>46086</v>
      </c>
      <c r="B498" t="s">
        <v>471</v>
      </c>
      <c r="C498" t="s">
        <v>367</v>
      </c>
      <c r="D498" t="s">
        <v>368</v>
      </c>
      <c r="E498">
        <v>-2000</v>
      </c>
      <c r="F498" t="s">
        <v>369</v>
      </c>
      <c r="G498">
        <v>2000</v>
      </c>
      <c r="H498">
        <v>2026</v>
      </c>
      <c r="I498">
        <v>3</v>
      </c>
      <c r="J498" t="s">
        <v>48</v>
      </c>
      <c r="K498" s="1">
        <v>46086</v>
      </c>
      <c r="L498" t="s">
        <v>23</v>
      </c>
      <c r="M498" t="s">
        <v>21</v>
      </c>
      <c r="N498" t="b">
        <v>0</v>
      </c>
      <c r="O498">
        <v>950</v>
      </c>
    </row>
    <row r="499" spans="1:15" x14ac:dyDescent="0.35">
      <c r="A499" s="1">
        <v>45832</v>
      </c>
      <c r="B499" t="s">
        <v>472</v>
      </c>
      <c r="C499" t="s">
        <v>350</v>
      </c>
      <c r="D499" t="s">
        <v>36</v>
      </c>
      <c r="E499">
        <v>570.62</v>
      </c>
      <c r="F499" t="s">
        <v>472</v>
      </c>
      <c r="G499">
        <v>570.62</v>
      </c>
      <c r="H499">
        <v>2025</v>
      </c>
      <c r="I499">
        <v>6</v>
      </c>
      <c r="J499" t="s">
        <v>33</v>
      </c>
      <c r="K499" s="1">
        <v>45832</v>
      </c>
      <c r="L499" t="s">
        <v>50</v>
      </c>
      <c r="M499" t="s">
        <v>39</v>
      </c>
      <c r="N499" t="b">
        <v>0</v>
      </c>
      <c r="O499">
        <v>948</v>
      </c>
    </row>
    <row r="500" spans="1:15" x14ac:dyDescent="0.35">
      <c r="A500" s="1">
        <v>46028</v>
      </c>
      <c r="B500" t="s">
        <v>473</v>
      </c>
      <c r="C500" t="s">
        <v>367</v>
      </c>
      <c r="D500" t="s">
        <v>368</v>
      </c>
      <c r="E500">
        <v>-2000</v>
      </c>
      <c r="F500" t="s">
        <v>369</v>
      </c>
      <c r="G500">
        <v>2000</v>
      </c>
      <c r="H500">
        <v>2026</v>
      </c>
      <c r="I500">
        <v>1</v>
      </c>
      <c r="J500" t="s">
        <v>24</v>
      </c>
      <c r="K500" s="1">
        <v>46028</v>
      </c>
      <c r="L500" t="s">
        <v>50</v>
      </c>
      <c r="M500" t="s">
        <v>21</v>
      </c>
      <c r="N500" t="b">
        <v>0</v>
      </c>
      <c r="O500">
        <v>1778</v>
      </c>
    </row>
    <row r="501" spans="1:15" x14ac:dyDescent="0.35">
      <c r="A501" s="1">
        <v>46022</v>
      </c>
      <c r="B501" t="s">
        <v>471</v>
      </c>
      <c r="C501" t="s">
        <v>367</v>
      </c>
      <c r="D501" t="s">
        <v>368</v>
      </c>
      <c r="E501">
        <v>-2350</v>
      </c>
      <c r="F501" t="s">
        <v>369</v>
      </c>
      <c r="G501">
        <v>2350</v>
      </c>
      <c r="H501">
        <v>2025</v>
      </c>
      <c r="I501">
        <v>12</v>
      </c>
      <c r="J501" t="s">
        <v>66</v>
      </c>
      <c r="K501" s="1">
        <v>46022</v>
      </c>
      <c r="L501" t="s">
        <v>58</v>
      </c>
      <c r="M501" t="s">
        <v>21</v>
      </c>
      <c r="N501" t="b">
        <v>0</v>
      </c>
      <c r="O501">
        <v>1779</v>
      </c>
    </row>
    <row r="502" spans="1:15" x14ac:dyDescent="0.35">
      <c r="A502" s="1">
        <v>46033</v>
      </c>
      <c r="B502" t="s">
        <v>465</v>
      </c>
      <c r="C502" t="s">
        <v>35</v>
      </c>
      <c r="D502" t="s">
        <v>36</v>
      </c>
      <c r="E502">
        <v>31.91</v>
      </c>
      <c r="F502" t="s">
        <v>466</v>
      </c>
      <c r="G502">
        <v>31.91</v>
      </c>
      <c r="H502">
        <v>2026</v>
      </c>
      <c r="I502">
        <v>1</v>
      </c>
      <c r="J502" t="s">
        <v>24</v>
      </c>
      <c r="K502" s="1">
        <v>46033</v>
      </c>
      <c r="L502" t="s">
        <v>41</v>
      </c>
      <c r="M502" t="s">
        <v>39</v>
      </c>
      <c r="N502" t="b">
        <v>1</v>
      </c>
      <c r="O502">
        <v>1037</v>
      </c>
    </row>
    <row r="503" spans="1:15" x14ac:dyDescent="0.35">
      <c r="A503" s="1">
        <v>45998</v>
      </c>
      <c r="B503" t="s">
        <v>471</v>
      </c>
      <c r="C503" t="s">
        <v>367</v>
      </c>
      <c r="D503" t="s">
        <v>368</v>
      </c>
      <c r="E503">
        <v>-2000</v>
      </c>
      <c r="F503" t="s">
        <v>369</v>
      </c>
      <c r="G503">
        <v>2000</v>
      </c>
      <c r="H503">
        <v>2025</v>
      </c>
      <c r="I503">
        <v>12</v>
      </c>
      <c r="J503" t="s">
        <v>66</v>
      </c>
      <c r="K503" s="1">
        <v>45998</v>
      </c>
      <c r="L503" t="s">
        <v>41</v>
      </c>
      <c r="M503" t="s">
        <v>21</v>
      </c>
      <c r="N503" t="b">
        <v>0</v>
      </c>
      <c r="O503">
        <v>1781</v>
      </c>
    </row>
    <row r="504" spans="1:15" x14ac:dyDescent="0.35">
      <c r="A504" s="1">
        <v>45886</v>
      </c>
      <c r="B504" t="s">
        <v>471</v>
      </c>
      <c r="C504" t="s">
        <v>367</v>
      </c>
      <c r="D504" t="s">
        <v>368</v>
      </c>
      <c r="E504">
        <v>-5000</v>
      </c>
      <c r="F504" t="s">
        <v>369</v>
      </c>
      <c r="G504">
        <v>5000</v>
      </c>
      <c r="H504">
        <v>2025</v>
      </c>
      <c r="I504">
        <v>8</v>
      </c>
      <c r="J504" t="s">
        <v>71</v>
      </c>
      <c r="K504" s="1">
        <v>45886</v>
      </c>
      <c r="L504" t="s">
        <v>41</v>
      </c>
      <c r="M504" t="s">
        <v>21</v>
      </c>
      <c r="N504" t="b">
        <v>0</v>
      </c>
      <c r="O504">
        <v>1786</v>
      </c>
    </row>
    <row r="505" spans="1:15" x14ac:dyDescent="0.35">
      <c r="A505" s="1">
        <v>46109</v>
      </c>
      <c r="B505" t="s">
        <v>173</v>
      </c>
      <c r="C505" t="s">
        <v>158</v>
      </c>
      <c r="D505" t="s">
        <v>36</v>
      </c>
      <c r="E505">
        <v>20</v>
      </c>
      <c r="F505" t="s">
        <v>174</v>
      </c>
      <c r="G505">
        <v>20</v>
      </c>
      <c r="H505">
        <v>2026</v>
      </c>
      <c r="I505">
        <v>3</v>
      </c>
      <c r="J505" t="s">
        <v>48</v>
      </c>
      <c r="K505" s="1">
        <v>46109</v>
      </c>
      <c r="L505" t="s">
        <v>20</v>
      </c>
      <c r="M505" t="s">
        <v>39</v>
      </c>
      <c r="N505" t="b">
        <v>0</v>
      </c>
      <c r="O505">
        <v>957</v>
      </c>
    </row>
    <row r="506" spans="1:15" x14ac:dyDescent="0.35">
      <c r="A506" s="1">
        <v>46079</v>
      </c>
      <c r="B506" t="s">
        <v>349</v>
      </c>
      <c r="C506" t="s">
        <v>350</v>
      </c>
      <c r="D506" t="s">
        <v>36</v>
      </c>
      <c r="E506">
        <v>4067.75</v>
      </c>
      <c r="F506" t="s">
        <v>351</v>
      </c>
      <c r="G506">
        <v>4067.75</v>
      </c>
      <c r="H506">
        <v>2026</v>
      </c>
      <c r="I506">
        <v>2</v>
      </c>
      <c r="J506" t="s">
        <v>19</v>
      </c>
      <c r="K506" s="1">
        <v>46079</v>
      </c>
      <c r="L506" t="s">
        <v>23</v>
      </c>
      <c r="M506" t="s">
        <v>39</v>
      </c>
      <c r="N506" t="b">
        <v>0</v>
      </c>
      <c r="O506">
        <v>969</v>
      </c>
    </row>
    <row r="507" spans="1:15" x14ac:dyDescent="0.35">
      <c r="A507" s="1">
        <v>46064</v>
      </c>
      <c r="B507" t="s">
        <v>474</v>
      </c>
      <c r="C507" t="s">
        <v>123</v>
      </c>
      <c r="D507" t="s">
        <v>36</v>
      </c>
      <c r="E507">
        <v>293</v>
      </c>
      <c r="F507" t="s">
        <v>475</v>
      </c>
      <c r="G507">
        <v>293</v>
      </c>
      <c r="H507">
        <v>2026</v>
      </c>
      <c r="I507">
        <v>2</v>
      </c>
      <c r="J507" t="s">
        <v>19</v>
      </c>
      <c r="K507" s="1">
        <v>46064</v>
      </c>
      <c r="L507" t="s">
        <v>58</v>
      </c>
      <c r="M507" t="s">
        <v>39</v>
      </c>
      <c r="N507" t="b">
        <v>0</v>
      </c>
      <c r="O507">
        <v>1015</v>
      </c>
    </row>
    <row r="508" spans="1:15" x14ac:dyDescent="0.35">
      <c r="A508" s="1">
        <v>46098</v>
      </c>
      <c r="B508" t="s">
        <v>363</v>
      </c>
      <c r="C508" t="s">
        <v>158</v>
      </c>
      <c r="D508" t="s">
        <v>36</v>
      </c>
      <c r="E508">
        <v>34.42</v>
      </c>
      <c r="F508" t="s">
        <v>364</v>
      </c>
      <c r="G508">
        <v>34.42</v>
      </c>
      <c r="H508">
        <v>2026</v>
      </c>
      <c r="I508">
        <v>3</v>
      </c>
      <c r="J508" t="s">
        <v>48</v>
      </c>
      <c r="K508" s="1">
        <v>46098</v>
      </c>
      <c r="L508" t="s">
        <v>50</v>
      </c>
      <c r="M508" t="s">
        <v>39</v>
      </c>
      <c r="N508" t="b">
        <v>0</v>
      </c>
      <c r="O508">
        <v>1022</v>
      </c>
    </row>
    <row r="509" spans="1:15" x14ac:dyDescent="0.35">
      <c r="A509" s="1">
        <v>46088</v>
      </c>
      <c r="B509" t="s">
        <v>363</v>
      </c>
      <c r="C509" t="s">
        <v>158</v>
      </c>
      <c r="D509" t="s">
        <v>36</v>
      </c>
      <c r="E509">
        <v>87.05</v>
      </c>
      <c r="F509" t="s">
        <v>364</v>
      </c>
      <c r="G509">
        <v>87.05</v>
      </c>
      <c r="H509">
        <v>2026</v>
      </c>
      <c r="I509">
        <v>3</v>
      </c>
      <c r="J509" t="s">
        <v>48</v>
      </c>
      <c r="K509" s="1">
        <v>46088</v>
      </c>
      <c r="L509" t="s">
        <v>20</v>
      </c>
      <c r="M509" t="s">
        <v>39</v>
      </c>
      <c r="N509" t="b">
        <v>0</v>
      </c>
      <c r="O509">
        <v>1023</v>
      </c>
    </row>
    <row r="510" spans="1:15" x14ac:dyDescent="0.35">
      <c r="A510" s="1">
        <v>46079</v>
      </c>
      <c r="B510" t="s">
        <v>363</v>
      </c>
      <c r="C510" t="s">
        <v>158</v>
      </c>
      <c r="D510" t="s">
        <v>36</v>
      </c>
      <c r="E510">
        <v>18.420000000000002</v>
      </c>
      <c r="F510" t="s">
        <v>364</v>
      </c>
      <c r="G510">
        <v>18.420000000000002</v>
      </c>
      <c r="H510">
        <v>2026</v>
      </c>
      <c r="I510">
        <v>2</v>
      </c>
      <c r="J510" t="s">
        <v>19</v>
      </c>
      <c r="K510" s="1">
        <v>46079</v>
      </c>
      <c r="L510" t="s">
        <v>23</v>
      </c>
      <c r="M510" t="s">
        <v>39</v>
      </c>
      <c r="N510" t="b">
        <v>0</v>
      </c>
      <c r="O510">
        <v>1024</v>
      </c>
    </row>
    <row r="511" spans="1:15" x14ac:dyDescent="0.35">
      <c r="A511" s="1">
        <v>46048</v>
      </c>
      <c r="B511" t="s">
        <v>476</v>
      </c>
      <c r="C511" t="s">
        <v>35</v>
      </c>
      <c r="D511" t="s">
        <v>36</v>
      </c>
      <c r="E511">
        <v>35</v>
      </c>
      <c r="F511" t="s">
        <v>477</v>
      </c>
      <c r="G511">
        <v>35</v>
      </c>
      <c r="H511">
        <v>2026</v>
      </c>
      <c r="I511">
        <v>1</v>
      </c>
      <c r="J511" t="s">
        <v>24</v>
      </c>
      <c r="K511" s="1">
        <v>46048</v>
      </c>
      <c r="L511" t="s">
        <v>38</v>
      </c>
      <c r="M511" t="s">
        <v>39</v>
      </c>
      <c r="N511" t="b">
        <v>1</v>
      </c>
      <c r="O511">
        <v>1039</v>
      </c>
    </row>
    <row r="512" spans="1:15" x14ac:dyDescent="0.35">
      <c r="A512" s="1">
        <v>46013</v>
      </c>
      <c r="B512" t="s">
        <v>478</v>
      </c>
      <c r="C512" t="s">
        <v>35</v>
      </c>
      <c r="D512" t="s">
        <v>36</v>
      </c>
      <c r="E512">
        <v>168.02</v>
      </c>
      <c r="F512" t="s">
        <v>478</v>
      </c>
      <c r="G512">
        <v>168.02</v>
      </c>
      <c r="H512">
        <v>2025</v>
      </c>
      <c r="I512">
        <v>12</v>
      </c>
      <c r="J512" t="s">
        <v>66</v>
      </c>
      <c r="K512" s="1">
        <v>46013</v>
      </c>
      <c r="L512" t="s">
        <v>38</v>
      </c>
      <c r="M512" t="s">
        <v>39</v>
      </c>
      <c r="N512" t="b">
        <v>1</v>
      </c>
      <c r="O512">
        <v>1053</v>
      </c>
    </row>
    <row r="513" spans="1:15" x14ac:dyDescent="0.35">
      <c r="A513" s="1">
        <v>46079</v>
      </c>
      <c r="B513" t="s">
        <v>363</v>
      </c>
      <c r="C513" t="s">
        <v>158</v>
      </c>
      <c r="D513" t="s">
        <v>36</v>
      </c>
      <c r="E513">
        <v>15</v>
      </c>
      <c r="F513" t="s">
        <v>364</v>
      </c>
      <c r="G513">
        <v>15</v>
      </c>
      <c r="H513">
        <v>2026</v>
      </c>
      <c r="I513">
        <v>2</v>
      </c>
      <c r="J513" t="s">
        <v>19</v>
      </c>
      <c r="K513" s="1">
        <v>46079</v>
      </c>
      <c r="L513" t="s">
        <v>23</v>
      </c>
      <c r="M513" t="s">
        <v>39</v>
      </c>
      <c r="N513" t="b">
        <v>0</v>
      </c>
      <c r="O513">
        <v>1025</v>
      </c>
    </row>
    <row r="514" spans="1:15" x14ac:dyDescent="0.35">
      <c r="A514" s="1">
        <v>46089</v>
      </c>
      <c r="B514" t="s">
        <v>479</v>
      </c>
      <c r="C514" t="s">
        <v>168</v>
      </c>
      <c r="D514" t="s">
        <v>36</v>
      </c>
      <c r="E514">
        <v>47.07</v>
      </c>
      <c r="F514" t="s">
        <v>353</v>
      </c>
      <c r="G514">
        <v>47.07</v>
      </c>
      <c r="H514">
        <v>2026</v>
      </c>
      <c r="I514">
        <v>3</v>
      </c>
      <c r="J514" t="s">
        <v>48</v>
      </c>
      <c r="K514" s="1">
        <v>46089</v>
      </c>
      <c r="L514" t="s">
        <v>41</v>
      </c>
      <c r="M514" t="s">
        <v>39</v>
      </c>
      <c r="N514" t="b">
        <v>0</v>
      </c>
      <c r="O514">
        <v>1027</v>
      </c>
    </row>
    <row r="515" spans="1:15" x14ac:dyDescent="0.35">
      <c r="A515" s="1">
        <v>46079</v>
      </c>
      <c r="B515" t="s">
        <v>352</v>
      </c>
      <c r="C515" t="s">
        <v>168</v>
      </c>
      <c r="D515" t="s">
        <v>36</v>
      </c>
      <c r="E515">
        <v>47.1</v>
      </c>
      <c r="F515" t="s">
        <v>353</v>
      </c>
      <c r="G515">
        <v>47.1</v>
      </c>
      <c r="H515">
        <v>2026</v>
      </c>
      <c r="I515">
        <v>2</v>
      </c>
      <c r="J515" t="s">
        <v>19</v>
      </c>
      <c r="K515" s="1">
        <v>46079</v>
      </c>
      <c r="L515" t="s">
        <v>23</v>
      </c>
      <c r="M515" t="s">
        <v>39</v>
      </c>
      <c r="N515" t="b">
        <v>0</v>
      </c>
      <c r="O515">
        <v>1028</v>
      </c>
    </row>
    <row r="516" spans="1:15" x14ac:dyDescent="0.35">
      <c r="A516" s="1">
        <v>46065</v>
      </c>
      <c r="B516" t="s">
        <v>479</v>
      </c>
      <c r="C516" t="s">
        <v>168</v>
      </c>
      <c r="D516" t="s">
        <v>36</v>
      </c>
      <c r="E516">
        <v>51.88</v>
      </c>
      <c r="F516" t="s">
        <v>353</v>
      </c>
      <c r="G516">
        <v>51.88</v>
      </c>
      <c r="H516">
        <v>2026</v>
      </c>
      <c r="I516">
        <v>2</v>
      </c>
      <c r="J516" t="s">
        <v>19</v>
      </c>
      <c r="K516" s="1">
        <v>46065</v>
      </c>
      <c r="L516" t="s">
        <v>23</v>
      </c>
      <c r="M516" t="s">
        <v>39</v>
      </c>
      <c r="N516" t="b">
        <v>0</v>
      </c>
      <c r="O516">
        <v>1029</v>
      </c>
    </row>
    <row r="517" spans="1:15" x14ac:dyDescent="0.35">
      <c r="A517" s="1">
        <v>46043</v>
      </c>
      <c r="B517" t="s">
        <v>170</v>
      </c>
      <c r="C517" t="s">
        <v>158</v>
      </c>
      <c r="D517" t="s">
        <v>36</v>
      </c>
      <c r="E517">
        <v>40</v>
      </c>
      <c r="F517" t="s">
        <v>171</v>
      </c>
      <c r="G517">
        <v>40</v>
      </c>
      <c r="H517">
        <v>2026</v>
      </c>
      <c r="I517">
        <v>1</v>
      </c>
      <c r="J517" t="s">
        <v>24</v>
      </c>
      <c r="K517" s="1">
        <v>46043</v>
      </c>
      <c r="L517" t="s">
        <v>58</v>
      </c>
      <c r="M517" t="s">
        <v>39</v>
      </c>
      <c r="N517" t="b">
        <v>0</v>
      </c>
      <c r="O517">
        <v>1030</v>
      </c>
    </row>
    <row r="518" spans="1:15" x14ac:dyDescent="0.35">
      <c r="A518" s="1">
        <v>46035</v>
      </c>
      <c r="B518" t="s">
        <v>344</v>
      </c>
      <c r="C518" t="s">
        <v>158</v>
      </c>
      <c r="D518" t="s">
        <v>36</v>
      </c>
      <c r="E518">
        <v>289.8</v>
      </c>
      <c r="F518" t="s">
        <v>345</v>
      </c>
      <c r="G518">
        <v>289.8</v>
      </c>
      <c r="H518">
        <v>2026</v>
      </c>
      <c r="I518">
        <v>1</v>
      </c>
      <c r="J518" t="s">
        <v>24</v>
      </c>
      <c r="K518" s="1">
        <v>46035</v>
      </c>
      <c r="L518" t="s">
        <v>50</v>
      </c>
      <c r="M518" t="s">
        <v>39</v>
      </c>
      <c r="N518" t="b">
        <v>0</v>
      </c>
      <c r="O518">
        <v>1033</v>
      </c>
    </row>
    <row r="519" spans="1:15" x14ac:dyDescent="0.35">
      <c r="A519" s="1">
        <v>46035</v>
      </c>
      <c r="B519" t="s">
        <v>359</v>
      </c>
      <c r="C519" t="s">
        <v>168</v>
      </c>
      <c r="D519" t="s">
        <v>36</v>
      </c>
      <c r="E519">
        <v>50.16</v>
      </c>
      <c r="F519" t="s">
        <v>323</v>
      </c>
      <c r="G519">
        <v>50.16</v>
      </c>
      <c r="H519">
        <v>2026</v>
      </c>
      <c r="I519">
        <v>1</v>
      </c>
      <c r="J519" t="s">
        <v>24</v>
      </c>
      <c r="K519" s="1">
        <v>46035</v>
      </c>
      <c r="L519" t="s">
        <v>50</v>
      </c>
      <c r="M519" t="s">
        <v>39</v>
      </c>
      <c r="N519" t="b">
        <v>0</v>
      </c>
      <c r="O519">
        <v>1034</v>
      </c>
    </row>
    <row r="520" spans="1:15" x14ac:dyDescent="0.35">
      <c r="A520" s="1">
        <v>45993</v>
      </c>
      <c r="B520" s="2" t="s">
        <v>480</v>
      </c>
      <c r="C520" t="s">
        <v>16</v>
      </c>
      <c r="D520" t="s">
        <v>36</v>
      </c>
      <c r="E520">
        <v>19.97</v>
      </c>
      <c r="F520" t="s">
        <v>265</v>
      </c>
      <c r="G520">
        <v>19.97</v>
      </c>
      <c r="H520">
        <v>2025</v>
      </c>
      <c r="I520">
        <v>12</v>
      </c>
      <c r="J520" t="s">
        <v>66</v>
      </c>
      <c r="K520" s="1">
        <v>45993</v>
      </c>
      <c r="L520" t="s">
        <v>50</v>
      </c>
      <c r="M520" t="s">
        <v>39</v>
      </c>
      <c r="N520" t="b">
        <v>1</v>
      </c>
      <c r="O520">
        <v>1418</v>
      </c>
    </row>
    <row r="521" spans="1:15" x14ac:dyDescent="0.35">
      <c r="A521" s="1">
        <v>45952</v>
      </c>
      <c r="B521" t="s">
        <v>462</v>
      </c>
      <c r="C521" t="s">
        <v>16</v>
      </c>
      <c r="D521" t="s">
        <v>36</v>
      </c>
      <c r="E521">
        <v>13.7</v>
      </c>
      <c r="F521" t="s">
        <v>463</v>
      </c>
      <c r="G521">
        <v>13.7</v>
      </c>
      <c r="H521">
        <v>2025</v>
      </c>
      <c r="I521">
        <v>10</v>
      </c>
      <c r="J521" t="s">
        <v>57</v>
      </c>
      <c r="K521" s="1">
        <v>45952</v>
      </c>
      <c r="L521" t="s">
        <v>58</v>
      </c>
      <c r="M521" t="s">
        <v>39</v>
      </c>
      <c r="N521" t="b">
        <v>1</v>
      </c>
      <c r="O521">
        <v>1434</v>
      </c>
    </row>
    <row r="522" spans="1:15" x14ac:dyDescent="0.35">
      <c r="A522" s="1">
        <v>45952</v>
      </c>
      <c r="B522" t="s">
        <v>462</v>
      </c>
      <c r="C522" t="s">
        <v>16</v>
      </c>
      <c r="D522" t="s">
        <v>36</v>
      </c>
      <c r="E522">
        <v>12.97</v>
      </c>
      <c r="F522" t="s">
        <v>463</v>
      </c>
      <c r="G522">
        <v>12.97</v>
      </c>
      <c r="H522">
        <v>2025</v>
      </c>
      <c r="I522">
        <v>10</v>
      </c>
      <c r="J522" t="s">
        <v>57</v>
      </c>
      <c r="K522" s="1">
        <v>45952</v>
      </c>
      <c r="L522" t="s">
        <v>58</v>
      </c>
      <c r="M522" t="s">
        <v>39</v>
      </c>
      <c r="N522" t="b">
        <v>1</v>
      </c>
      <c r="O522">
        <v>1435</v>
      </c>
    </row>
    <row r="523" spans="1:15" x14ac:dyDescent="0.35">
      <c r="A523" s="1">
        <v>45952</v>
      </c>
      <c r="B523" t="s">
        <v>462</v>
      </c>
      <c r="C523" t="s">
        <v>16</v>
      </c>
      <c r="D523" t="s">
        <v>36</v>
      </c>
      <c r="E523">
        <v>12.97</v>
      </c>
      <c r="F523" t="s">
        <v>463</v>
      </c>
      <c r="G523">
        <v>12.97</v>
      </c>
      <c r="H523">
        <v>2025</v>
      </c>
      <c r="I523">
        <v>10</v>
      </c>
      <c r="J523" t="s">
        <v>57</v>
      </c>
      <c r="K523" s="1">
        <v>45952</v>
      </c>
      <c r="L523" t="s">
        <v>58</v>
      </c>
      <c r="M523" t="s">
        <v>39</v>
      </c>
      <c r="N523" t="b">
        <v>1</v>
      </c>
      <c r="O523">
        <v>1440</v>
      </c>
    </row>
    <row r="524" spans="1:15" x14ac:dyDescent="0.35">
      <c r="A524" s="1">
        <v>46021</v>
      </c>
      <c r="B524" t="s">
        <v>385</v>
      </c>
      <c r="C524" t="s">
        <v>158</v>
      </c>
      <c r="D524" t="s">
        <v>36</v>
      </c>
      <c r="E524">
        <v>20</v>
      </c>
      <c r="F524" t="s">
        <v>385</v>
      </c>
      <c r="G524">
        <v>20</v>
      </c>
      <c r="H524">
        <v>2025</v>
      </c>
      <c r="I524">
        <v>12</v>
      </c>
      <c r="J524" t="s">
        <v>66</v>
      </c>
      <c r="K524" s="1">
        <v>46021</v>
      </c>
      <c r="L524" t="s">
        <v>50</v>
      </c>
      <c r="M524" t="s">
        <v>39</v>
      </c>
      <c r="N524" t="b">
        <v>0</v>
      </c>
      <c r="O524">
        <v>1036</v>
      </c>
    </row>
    <row r="525" spans="1:15" x14ac:dyDescent="0.35">
      <c r="A525" s="1">
        <v>46042</v>
      </c>
      <c r="B525" t="s">
        <v>362</v>
      </c>
      <c r="C525" t="s">
        <v>168</v>
      </c>
      <c r="D525" t="s">
        <v>36</v>
      </c>
      <c r="E525">
        <v>41.97</v>
      </c>
      <c r="F525" t="s">
        <v>287</v>
      </c>
      <c r="G525">
        <v>41.97</v>
      </c>
      <c r="H525">
        <v>2026</v>
      </c>
      <c r="I525">
        <v>1</v>
      </c>
      <c r="J525" t="s">
        <v>24</v>
      </c>
      <c r="K525" s="1">
        <v>46042</v>
      </c>
      <c r="L525" t="s">
        <v>50</v>
      </c>
      <c r="M525" t="s">
        <v>39</v>
      </c>
      <c r="N525" t="b">
        <v>0</v>
      </c>
      <c r="O525">
        <v>1031</v>
      </c>
    </row>
    <row r="526" spans="1:15" x14ac:dyDescent="0.35">
      <c r="A526" s="1">
        <v>45952</v>
      </c>
      <c r="B526" t="s">
        <v>462</v>
      </c>
      <c r="C526" t="s">
        <v>16</v>
      </c>
      <c r="D526" t="s">
        <v>36</v>
      </c>
      <c r="E526">
        <v>10.29</v>
      </c>
      <c r="F526" t="s">
        <v>463</v>
      </c>
      <c r="G526">
        <v>10.29</v>
      </c>
      <c r="H526">
        <v>2025</v>
      </c>
      <c r="I526">
        <v>10</v>
      </c>
      <c r="J526" t="s">
        <v>57</v>
      </c>
      <c r="K526" s="1">
        <v>45952</v>
      </c>
      <c r="L526" t="s">
        <v>58</v>
      </c>
      <c r="M526" t="s">
        <v>39</v>
      </c>
      <c r="N526" t="b">
        <v>1</v>
      </c>
      <c r="O526">
        <v>1441</v>
      </c>
    </row>
    <row r="527" spans="1:15" x14ac:dyDescent="0.35">
      <c r="A527" s="1">
        <v>45952</v>
      </c>
      <c r="B527" t="s">
        <v>462</v>
      </c>
      <c r="C527" t="s">
        <v>16</v>
      </c>
      <c r="D527" t="s">
        <v>36</v>
      </c>
      <c r="E527">
        <v>9.6199999999999992</v>
      </c>
      <c r="F527" t="s">
        <v>463</v>
      </c>
      <c r="G527">
        <v>9.6199999999999992</v>
      </c>
      <c r="H527">
        <v>2025</v>
      </c>
      <c r="I527">
        <v>10</v>
      </c>
      <c r="J527" t="s">
        <v>57</v>
      </c>
      <c r="K527" s="1">
        <v>45952</v>
      </c>
      <c r="L527" t="s">
        <v>58</v>
      </c>
      <c r="M527" t="s">
        <v>39</v>
      </c>
      <c r="N527" t="b">
        <v>1</v>
      </c>
      <c r="O527">
        <v>1442</v>
      </c>
    </row>
    <row r="528" spans="1:15" x14ac:dyDescent="0.35">
      <c r="A528" s="1">
        <v>46049</v>
      </c>
      <c r="B528" t="s">
        <v>352</v>
      </c>
      <c r="C528" t="s">
        <v>168</v>
      </c>
      <c r="D528" t="s">
        <v>36</v>
      </c>
      <c r="E528">
        <v>50.42</v>
      </c>
      <c r="F528" t="s">
        <v>353</v>
      </c>
      <c r="G528">
        <v>50.42</v>
      </c>
      <c r="H528">
        <v>2026</v>
      </c>
      <c r="I528">
        <v>1</v>
      </c>
      <c r="J528" t="s">
        <v>24</v>
      </c>
      <c r="K528" s="1">
        <v>46049</v>
      </c>
      <c r="L528" t="s">
        <v>50</v>
      </c>
      <c r="M528" t="s">
        <v>39</v>
      </c>
      <c r="N528" t="b">
        <v>0</v>
      </c>
      <c r="O528">
        <v>1120</v>
      </c>
    </row>
    <row r="529" spans="1:15" x14ac:dyDescent="0.35">
      <c r="A529" s="1">
        <v>46023</v>
      </c>
      <c r="B529" t="s">
        <v>479</v>
      </c>
      <c r="C529" t="s">
        <v>168</v>
      </c>
      <c r="D529" t="s">
        <v>36</v>
      </c>
      <c r="E529">
        <v>44.95</v>
      </c>
      <c r="F529" t="s">
        <v>353</v>
      </c>
      <c r="G529">
        <v>44.95</v>
      </c>
      <c r="H529">
        <v>2026</v>
      </c>
      <c r="I529">
        <v>1</v>
      </c>
      <c r="J529" t="s">
        <v>24</v>
      </c>
      <c r="K529" s="1">
        <v>46023</v>
      </c>
      <c r="L529" t="s">
        <v>23</v>
      </c>
      <c r="M529" t="s">
        <v>39</v>
      </c>
      <c r="N529" t="b">
        <v>0</v>
      </c>
      <c r="O529">
        <v>1121</v>
      </c>
    </row>
    <row r="530" spans="1:15" x14ac:dyDescent="0.35">
      <c r="A530" s="1">
        <v>46014</v>
      </c>
      <c r="B530" t="s">
        <v>352</v>
      </c>
      <c r="C530" t="s">
        <v>168</v>
      </c>
      <c r="D530" t="s">
        <v>36</v>
      </c>
      <c r="E530">
        <v>39.96</v>
      </c>
      <c r="F530" t="s">
        <v>353</v>
      </c>
      <c r="G530">
        <v>39.96</v>
      </c>
      <c r="H530">
        <v>2025</v>
      </c>
      <c r="I530">
        <v>12</v>
      </c>
      <c r="J530" t="s">
        <v>66</v>
      </c>
      <c r="K530" s="1">
        <v>46014</v>
      </c>
      <c r="L530" t="s">
        <v>50</v>
      </c>
      <c r="M530" t="s">
        <v>39</v>
      </c>
      <c r="N530" t="b">
        <v>0</v>
      </c>
      <c r="O530">
        <v>1122</v>
      </c>
    </row>
    <row r="531" spans="1:15" x14ac:dyDescent="0.35">
      <c r="A531" s="1">
        <v>46008</v>
      </c>
      <c r="B531" t="s">
        <v>363</v>
      </c>
      <c r="C531" t="s">
        <v>158</v>
      </c>
      <c r="D531" t="s">
        <v>36</v>
      </c>
      <c r="E531">
        <v>85</v>
      </c>
      <c r="F531" t="s">
        <v>364</v>
      </c>
      <c r="G531">
        <v>85</v>
      </c>
      <c r="H531">
        <v>2025</v>
      </c>
      <c r="I531">
        <v>12</v>
      </c>
      <c r="J531" t="s">
        <v>66</v>
      </c>
      <c r="K531" s="1">
        <v>46008</v>
      </c>
      <c r="L531" t="s">
        <v>58</v>
      </c>
      <c r="M531" t="s">
        <v>39</v>
      </c>
      <c r="N531" t="b">
        <v>0</v>
      </c>
      <c r="O531">
        <v>1123</v>
      </c>
    </row>
    <row r="532" spans="1:15" x14ac:dyDescent="0.35">
      <c r="A532" s="1">
        <v>45999</v>
      </c>
      <c r="B532" t="s">
        <v>481</v>
      </c>
      <c r="C532" t="s">
        <v>168</v>
      </c>
      <c r="D532" t="s">
        <v>36</v>
      </c>
      <c r="E532">
        <v>15</v>
      </c>
      <c r="F532" t="s">
        <v>323</v>
      </c>
      <c r="G532">
        <v>15</v>
      </c>
      <c r="H532">
        <v>2025</v>
      </c>
      <c r="I532">
        <v>12</v>
      </c>
      <c r="J532" t="s">
        <v>66</v>
      </c>
      <c r="K532" s="1">
        <v>45999</v>
      </c>
      <c r="L532" t="s">
        <v>38</v>
      </c>
      <c r="M532" t="s">
        <v>39</v>
      </c>
      <c r="N532" t="b">
        <v>0</v>
      </c>
      <c r="O532">
        <v>1124</v>
      </c>
    </row>
    <row r="533" spans="1:15" x14ac:dyDescent="0.35">
      <c r="A533" s="1">
        <v>45999</v>
      </c>
      <c r="B533" t="s">
        <v>288</v>
      </c>
      <c r="C533" t="s">
        <v>158</v>
      </c>
      <c r="D533" t="s">
        <v>36</v>
      </c>
      <c r="E533">
        <v>20</v>
      </c>
      <c r="F533" t="s">
        <v>289</v>
      </c>
      <c r="G533">
        <v>20</v>
      </c>
      <c r="H533">
        <v>2025</v>
      </c>
      <c r="I533">
        <v>12</v>
      </c>
      <c r="J533" t="s">
        <v>66</v>
      </c>
      <c r="K533" s="1">
        <v>45999</v>
      </c>
      <c r="L533" t="s">
        <v>38</v>
      </c>
      <c r="M533" t="s">
        <v>39</v>
      </c>
      <c r="N533" t="b">
        <v>0</v>
      </c>
      <c r="O533">
        <v>1125</v>
      </c>
    </row>
    <row r="534" spans="1:15" x14ac:dyDescent="0.35">
      <c r="A534" s="1">
        <v>45952</v>
      </c>
      <c r="B534" t="s">
        <v>462</v>
      </c>
      <c r="C534" t="s">
        <v>16</v>
      </c>
      <c r="D534" t="s">
        <v>36</v>
      </c>
      <c r="E534">
        <v>9.24</v>
      </c>
      <c r="F534" t="s">
        <v>463</v>
      </c>
      <c r="G534">
        <v>9.24</v>
      </c>
      <c r="H534">
        <v>2025</v>
      </c>
      <c r="I534">
        <v>10</v>
      </c>
      <c r="J534" t="s">
        <v>57</v>
      </c>
      <c r="K534" s="1">
        <v>45952</v>
      </c>
      <c r="L534" t="s">
        <v>58</v>
      </c>
      <c r="M534" t="s">
        <v>39</v>
      </c>
      <c r="N534" t="b">
        <v>1</v>
      </c>
      <c r="O534">
        <v>1443</v>
      </c>
    </row>
    <row r="535" spans="1:15" x14ac:dyDescent="0.35">
      <c r="A535" s="1">
        <v>45952</v>
      </c>
      <c r="B535" t="s">
        <v>462</v>
      </c>
      <c r="C535" t="s">
        <v>16</v>
      </c>
      <c r="D535" t="s">
        <v>36</v>
      </c>
      <c r="E535">
        <v>6.41</v>
      </c>
      <c r="F535" t="s">
        <v>463</v>
      </c>
      <c r="G535">
        <v>6.41</v>
      </c>
      <c r="H535">
        <v>2025</v>
      </c>
      <c r="I535">
        <v>10</v>
      </c>
      <c r="J535" t="s">
        <v>57</v>
      </c>
      <c r="K535" s="1">
        <v>45952</v>
      </c>
      <c r="L535" t="s">
        <v>58</v>
      </c>
      <c r="M535" t="s">
        <v>39</v>
      </c>
      <c r="N535" t="b">
        <v>1</v>
      </c>
      <c r="O535">
        <v>1462</v>
      </c>
    </row>
    <row r="536" spans="1:15" x14ac:dyDescent="0.35">
      <c r="A536" s="1">
        <v>45975</v>
      </c>
      <c r="B536" t="s">
        <v>388</v>
      </c>
      <c r="C536" t="s">
        <v>35</v>
      </c>
      <c r="D536" t="s">
        <v>36</v>
      </c>
      <c r="E536">
        <v>947.28</v>
      </c>
      <c r="F536" t="s">
        <v>387</v>
      </c>
      <c r="G536">
        <v>947.28</v>
      </c>
      <c r="H536">
        <v>2025</v>
      </c>
      <c r="I536">
        <v>11</v>
      </c>
      <c r="J536" t="s">
        <v>68</v>
      </c>
      <c r="K536" s="1">
        <v>45975</v>
      </c>
      <c r="L536" t="s">
        <v>31</v>
      </c>
      <c r="M536" t="s">
        <v>39</v>
      </c>
      <c r="N536" t="b">
        <v>1</v>
      </c>
      <c r="O536">
        <v>1141</v>
      </c>
    </row>
    <row r="537" spans="1:15" x14ac:dyDescent="0.35">
      <c r="A537" s="1">
        <v>45799</v>
      </c>
      <c r="B537" t="s">
        <v>482</v>
      </c>
      <c r="C537" t="s">
        <v>367</v>
      </c>
      <c r="D537" t="s">
        <v>368</v>
      </c>
      <c r="E537">
        <v>-430.86</v>
      </c>
      <c r="F537" t="s">
        <v>369</v>
      </c>
      <c r="G537">
        <v>430.86</v>
      </c>
      <c r="H537">
        <v>2025</v>
      </c>
      <c r="I537">
        <v>5</v>
      </c>
      <c r="J537" t="s">
        <v>75</v>
      </c>
      <c r="K537" s="1">
        <v>45799</v>
      </c>
      <c r="L537" t="s">
        <v>23</v>
      </c>
      <c r="M537" t="s">
        <v>21</v>
      </c>
      <c r="N537" t="b">
        <v>0</v>
      </c>
      <c r="O537">
        <v>942</v>
      </c>
    </row>
    <row r="538" spans="1:15" x14ac:dyDescent="0.35">
      <c r="A538" s="1">
        <v>45852</v>
      </c>
      <c r="B538" t="s">
        <v>483</v>
      </c>
      <c r="C538" t="s">
        <v>16</v>
      </c>
      <c r="D538" t="s">
        <v>36</v>
      </c>
      <c r="E538">
        <v>39</v>
      </c>
      <c r="F538" t="s">
        <v>484</v>
      </c>
      <c r="G538">
        <v>39</v>
      </c>
      <c r="H538">
        <v>2025</v>
      </c>
      <c r="I538">
        <v>7</v>
      </c>
      <c r="J538" t="s">
        <v>73</v>
      </c>
      <c r="K538" s="1">
        <v>45852</v>
      </c>
      <c r="L538" t="s">
        <v>38</v>
      </c>
      <c r="M538" t="s">
        <v>39</v>
      </c>
      <c r="N538" t="b">
        <v>1</v>
      </c>
      <c r="O538">
        <v>1467</v>
      </c>
    </row>
    <row r="539" spans="1:15" x14ac:dyDescent="0.35">
      <c r="A539" s="1">
        <v>45836</v>
      </c>
      <c r="B539" t="s">
        <v>485</v>
      </c>
      <c r="C539" t="s">
        <v>16</v>
      </c>
      <c r="D539" t="s">
        <v>36</v>
      </c>
      <c r="E539">
        <v>69.989999999999995</v>
      </c>
      <c r="F539" t="s">
        <v>486</v>
      </c>
      <c r="G539">
        <v>69.989999999999995</v>
      </c>
      <c r="H539">
        <v>2025</v>
      </c>
      <c r="I539">
        <v>6</v>
      </c>
      <c r="J539" t="s">
        <v>33</v>
      </c>
      <c r="K539" s="1">
        <v>45836</v>
      </c>
      <c r="L539" t="s">
        <v>20</v>
      </c>
      <c r="M539" t="s">
        <v>39</v>
      </c>
      <c r="N539" t="b">
        <v>1</v>
      </c>
      <c r="O539">
        <v>1468</v>
      </c>
    </row>
    <row r="540" spans="1:15" x14ac:dyDescent="0.35">
      <c r="A540" s="1">
        <v>45942</v>
      </c>
      <c r="B540" t="s">
        <v>487</v>
      </c>
      <c r="C540" t="s">
        <v>35</v>
      </c>
      <c r="D540" t="s">
        <v>36</v>
      </c>
      <c r="E540">
        <v>60</v>
      </c>
      <c r="F540" t="s">
        <v>487</v>
      </c>
      <c r="G540">
        <v>60</v>
      </c>
      <c r="H540">
        <v>2025</v>
      </c>
      <c r="I540">
        <v>10</v>
      </c>
      <c r="J540" t="s">
        <v>57</v>
      </c>
      <c r="K540" s="1">
        <v>45942</v>
      </c>
      <c r="L540" t="s">
        <v>41</v>
      </c>
      <c r="M540" t="s">
        <v>39</v>
      </c>
      <c r="N540" t="b">
        <v>1</v>
      </c>
      <c r="O540">
        <v>1146</v>
      </c>
    </row>
    <row r="541" spans="1:15" x14ac:dyDescent="0.35">
      <c r="A541" s="1">
        <v>45933</v>
      </c>
      <c r="B541" t="s">
        <v>465</v>
      </c>
      <c r="C541" t="s">
        <v>35</v>
      </c>
      <c r="D541" t="s">
        <v>36</v>
      </c>
      <c r="E541">
        <v>89.48</v>
      </c>
      <c r="F541" t="s">
        <v>466</v>
      </c>
      <c r="G541">
        <v>89.48</v>
      </c>
      <c r="H541">
        <v>2025</v>
      </c>
      <c r="I541">
        <v>10</v>
      </c>
      <c r="J541" t="s">
        <v>57</v>
      </c>
      <c r="K541" s="1">
        <v>45933</v>
      </c>
      <c r="L541" t="s">
        <v>31</v>
      </c>
      <c r="M541" t="s">
        <v>39</v>
      </c>
      <c r="N541" t="b">
        <v>1</v>
      </c>
      <c r="O541">
        <v>1198</v>
      </c>
    </row>
    <row r="542" spans="1:15" x14ac:dyDescent="0.35">
      <c r="A542" s="1">
        <v>45882</v>
      </c>
      <c r="B542" t="s">
        <v>488</v>
      </c>
      <c r="C542" t="s">
        <v>35</v>
      </c>
      <c r="D542" t="s">
        <v>36</v>
      </c>
      <c r="E542">
        <v>240</v>
      </c>
      <c r="F542" t="s">
        <v>489</v>
      </c>
      <c r="G542">
        <v>240</v>
      </c>
      <c r="H542">
        <v>2025</v>
      </c>
      <c r="I542">
        <v>8</v>
      </c>
      <c r="J542" t="s">
        <v>71</v>
      </c>
      <c r="K542" s="1">
        <v>45882</v>
      </c>
      <c r="L542" t="s">
        <v>58</v>
      </c>
      <c r="M542" t="s">
        <v>39</v>
      </c>
      <c r="N542" t="b">
        <v>1</v>
      </c>
      <c r="O542">
        <v>1207</v>
      </c>
    </row>
    <row r="543" spans="1:15" x14ac:dyDescent="0.35">
      <c r="A543" s="1">
        <v>45868</v>
      </c>
      <c r="B543" t="s">
        <v>490</v>
      </c>
      <c r="C543" t="s">
        <v>35</v>
      </c>
      <c r="D543" t="s">
        <v>36</v>
      </c>
      <c r="E543">
        <v>6.75</v>
      </c>
      <c r="F543" t="s">
        <v>490</v>
      </c>
      <c r="G543">
        <v>6.75</v>
      </c>
      <c r="H543">
        <v>2025</v>
      </c>
      <c r="I543">
        <v>7</v>
      </c>
      <c r="J543" t="s">
        <v>73</v>
      </c>
      <c r="K543" s="1">
        <v>45868</v>
      </c>
      <c r="L543" t="s">
        <v>58</v>
      </c>
      <c r="M543" t="s">
        <v>39</v>
      </c>
      <c r="N543" t="b">
        <v>1</v>
      </c>
      <c r="O543">
        <v>1226</v>
      </c>
    </row>
    <row r="544" spans="1:15" x14ac:dyDescent="0.35">
      <c r="A544" s="1">
        <v>45999</v>
      </c>
      <c r="B544" t="s">
        <v>170</v>
      </c>
      <c r="C544" t="s">
        <v>158</v>
      </c>
      <c r="D544" t="s">
        <v>36</v>
      </c>
      <c r="E544">
        <v>40</v>
      </c>
      <c r="F544" t="s">
        <v>171</v>
      </c>
      <c r="G544">
        <v>40</v>
      </c>
      <c r="H544">
        <v>2025</v>
      </c>
      <c r="I544">
        <v>12</v>
      </c>
      <c r="J544" t="s">
        <v>66</v>
      </c>
      <c r="K544" s="1">
        <v>45999</v>
      </c>
      <c r="L544" t="s">
        <v>38</v>
      </c>
      <c r="M544" t="s">
        <v>39</v>
      </c>
      <c r="N544" t="b">
        <v>0</v>
      </c>
      <c r="O544">
        <v>1126</v>
      </c>
    </row>
    <row r="545" spans="1:15" x14ac:dyDescent="0.35">
      <c r="A545" s="1">
        <v>45965</v>
      </c>
      <c r="B545" t="s">
        <v>362</v>
      </c>
      <c r="C545" t="s">
        <v>168</v>
      </c>
      <c r="D545" t="s">
        <v>36</v>
      </c>
      <c r="E545">
        <v>51.95</v>
      </c>
      <c r="F545" t="s">
        <v>287</v>
      </c>
      <c r="G545">
        <v>51.95</v>
      </c>
      <c r="H545">
        <v>2025</v>
      </c>
      <c r="I545">
        <v>11</v>
      </c>
      <c r="J545" t="s">
        <v>68</v>
      </c>
      <c r="K545" s="1">
        <v>45965</v>
      </c>
      <c r="L545" t="s">
        <v>50</v>
      </c>
      <c r="M545" t="s">
        <v>39</v>
      </c>
      <c r="N545" t="b">
        <v>0</v>
      </c>
      <c r="O545">
        <v>1127</v>
      </c>
    </row>
    <row r="546" spans="1:15" x14ac:dyDescent="0.35">
      <c r="A546" s="1">
        <v>45969</v>
      </c>
      <c r="B546" t="s">
        <v>363</v>
      </c>
      <c r="C546" t="s">
        <v>158</v>
      </c>
      <c r="D546" t="s">
        <v>36</v>
      </c>
      <c r="E546">
        <v>79.86</v>
      </c>
      <c r="F546" t="s">
        <v>364</v>
      </c>
      <c r="G546">
        <v>79.86</v>
      </c>
      <c r="H546">
        <v>2025</v>
      </c>
      <c r="I546">
        <v>11</v>
      </c>
      <c r="J546" t="s">
        <v>68</v>
      </c>
      <c r="K546" s="1">
        <v>45969</v>
      </c>
      <c r="L546" t="s">
        <v>20</v>
      </c>
      <c r="M546" t="s">
        <v>39</v>
      </c>
      <c r="N546" t="b">
        <v>0</v>
      </c>
      <c r="O546">
        <v>1195</v>
      </c>
    </row>
    <row r="547" spans="1:15" x14ac:dyDescent="0.35">
      <c r="A547" s="1">
        <v>46000</v>
      </c>
      <c r="B547" t="s">
        <v>352</v>
      </c>
      <c r="C547" t="s">
        <v>168</v>
      </c>
      <c r="D547" t="s">
        <v>36</v>
      </c>
      <c r="E547">
        <v>32.130000000000003</v>
      </c>
      <c r="F547" t="s">
        <v>353</v>
      </c>
      <c r="G547">
        <v>32.130000000000003</v>
      </c>
      <c r="H547">
        <v>2025</v>
      </c>
      <c r="I547">
        <v>12</v>
      </c>
      <c r="J547" t="s">
        <v>66</v>
      </c>
      <c r="K547" s="1">
        <v>46000</v>
      </c>
      <c r="L547" t="s">
        <v>50</v>
      </c>
      <c r="M547" t="s">
        <v>39</v>
      </c>
      <c r="N547" t="b">
        <v>0</v>
      </c>
      <c r="O547">
        <v>1196</v>
      </c>
    </row>
    <row r="548" spans="1:15" x14ac:dyDescent="0.35">
      <c r="A548" s="1">
        <v>45992</v>
      </c>
      <c r="B548" t="s">
        <v>352</v>
      </c>
      <c r="C548" t="s">
        <v>168</v>
      </c>
      <c r="D548" t="s">
        <v>36</v>
      </c>
      <c r="E548">
        <v>45.75</v>
      </c>
      <c r="F548" t="s">
        <v>353</v>
      </c>
      <c r="G548">
        <v>45.75</v>
      </c>
      <c r="H548">
        <v>2025</v>
      </c>
      <c r="I548">
        <v>12</v>
      </c>
      <c r="J548" t="s">
        <v>66</v>
      </c>
      <c r="K548" s="1">
        <v>45992</v>
      </c>
      <c r="L548" t="s">
        <v>38</v>
      </c>
      <c r="M548" t="s">
        <v>39</v>
      </c>
      <c r="N548" t="b">
        <v>0</v>
      </c>
      <c r="O548">
        <v>1197</v>
      </c>
    </row>
    <row r="549" spans="1:15" x14ac:dyDescent="0.35">
      <c r="A549" s="1">
        <v>45835</v>
      </c>
      <c r="B549" t="s">
        <v>286</v>
      </c>
      <c r="C549" t="s">
        <v>168</v>
      </c>
      <c r="D549" t="s">
        <v>36</v>
      </c>
      <c r="E549">
        <v>53.91</v>
      </c>
      <c r="F549" t="s">
        <v>287</v>
      </c>
      <c r="G549">
        <v>53.91</v>
      </c>
      <c r="H549">
        <v>2025</v>
      </c>
      <c r="I549">
        <v>6</v>
      </c>
      <c r="J549" t="s">
        <v>33</v>
      </c>
      <c r="K549" s="1">
        <v>45835</v>
      </c>
      <c r="L549" t="s">
        <v>31</v>
      </c>
      <c r="M549" t="s">
        <v>39</v>
      </c>
      <c r="N549" t="b">
        <v>0</v>
      </c>
      <c r="O549">
        <v>1296</v>
      </c>
    </row>
    <row r="550" spans="1:15" x14ac:dyDescent="0.35">
      <c r="A550" s="1">
        <v>45856</v>
      </c>
      <c r="B550" t="s">
        <v>491</v>
      </c>
      <c r="C550" t="s">
        <v>35</v>
      </c>
      <c r="D550" t="s">
        <v>17</v>
      </c>
      <c r="E550">
        <v>-202.8</v>
      </c>
      <c r="F550" t="s">
        <v>492</v>
      </c>
      <c r="G550">
        <v>202.8</v>
      </c>
      <c r="H550">
        <v>2025</v>
      </c>
      <c r="I550">
        <v>7</v>
      </c>
      <c r="J550" t="s">
        <v>73</v>
      </c>
      <c r="K550" s="1">
        <v>45856</v>
      </c>
      <c r="L550" t="s">
        <v>31</v>
      </c>
      <c r="M550" t="s">
        <v>21</v>
      </c>
      <c r="N550" t="b">
        <v>1</v>
      </c>
      <c r="O550">
        <v>1235</v>
      </c>
    </row>
    <row r="551" spans="1:15" x14ac:dyDescent="0.35">
      <c r="A551" s="1">
        <v>45855</v>
      </c>
      <c r="B551" t="s">
        <v>491</v>
      </c>
      <c r="C551" t="s">
        <v>35</v>
      </c>
      <c r="D551" t="s">
        <v>36</v>
      </c>
      <c r="E551">
        <v>208.88</v>
      </c>
      <c r="F551" t="s">
        <v>492</v>
      </c>
      <c r="G551">
        <v>208.88</v>
      </c>
      <c r="H551">
        <v>2025</v>
      </c>
      <c r="I551">
        <v>7</v>
      </c>
      <c r="J551" t="s">
        <v>73</v>
      </c>
      <c r="K551" s="1">
        <v>45855</v>
      </c>
      <c r="L551" t="s">
        <v>23</v>
      </c>
      <c r="M551" t="s">
        <v>39</v>
      </c>
      <c r="N551" t="b">
        <v>1</v>
      </c>
      <c r="O551">
        <v>1237</v>
      </c>
    </row>
    <row r="552" spans="1:15" x14ac:dyDescent="0.35">
      <c r="A552" s="1">
        <v>45819</v>
      </c>
      <c r="B552" t="s">
        <v>286</v>
      </c>
      <c r="C552" t="s">
        <v>168</v>
      </c>
      <c r="D552" t="s">
        <v>36</v>
      </c>
      <c r="E552">
        <v>47.69</v>
      </c>
      <c r="F552" t="s">
        <v>287</v>
      </c>
      <c r="G552">
        <v>47.69</v>
      </c>
      <c r="H552">
        <v>2025</v>
      </c>
      <c r="I552">
        <v>6</v>
      </c>
      <c r="J552" t="s">
        <v>33</v>
      </c>
      <c r="K552" s="1">
        <v>45819</v>
      </c>
      <c r="L552" t="s">
        <v>58</v>
      </c>
      <c r="M552" t="s">
        <v>39</v>
      </c>
      <c r="N552" t="b">
        <v>0</v>
      </c>
      <c r="O552">
        <v>1312</v>
      </c>
    </row>
    <row r="553" spans="1:15" x14ac:dyDescent="0.35">
      <c r="A553" s="1">
        <v>45859</v>
      </c>
      <c r="B553" t="s">
        <v>474</v>
      </c>
      <c r="C553" t="s">
        <v>123</v>
      </c>
      <c r="D553" t="s">
        <v>36</v>
      </c>
      <c r="E553">
        <v>98</v>
      </c>
      <c r="F553" t="s">
        <v>475</v>
      </c>
      <c r="G553">
        <v>98</v>
      </c>
      <c r="H553">
        <v>2025</v>
      </c>
      <c r="I553">
        <v>7</v>
      </c>
      <c r="J553" t="s">
        <v>73</v>
      </c>
      <c r="K553" s="1">
        <v>45859</v>
      </c>
      <c r="L553" t="s">
        <v>38</v>
      </c>
      <c r="M553" t="s">
        <v>39</v>
      </c>
      <c r="N553" t="b">
        <v>0</v>
      </c>
      <c r="O553">
        <v>1258</v>
      </c>
    </row>
    <row r="554" spans="1:15" x14ac:dyDescent="0.35">
      <c r="A554" s="1">
        <v>45891</v>
      </c>
      <c r="B554" t="s">
        <v>363</v>
      </c>
      <c r="C554" t="s">
        <v>158</v>
      </c>
      <c r="D554" t="s">
        <v>36</v>
      </c>
      <c r="E554">
        <v>42.36</v>
      </c>
      <c r="F554" t="s">
        <v>364</v>
      </c>
      <c r="G554">
        <v>42.36</v>
      </c>
      <c r="H554">
        <v>2025</v>
      </c>
      <c r="I554">
        <v>8</v>
      </c>
      <c r="J554" t="s">
        <v>71</v>
      </c>
      <c r="K554" s="1">
        <v>45891</v>
      </c>
      <c r="L554" t="s">
        <v>31</v>
      </c>
      <c r="M554" t="s">
        <v>39</v>
      </c>
      <c r="N554" t="b">
        <v>0</v>
      </c>
      <c r="O554">
        <v>1303</v>
      </c>
    </row>
    <row r="555" spans="1:15" x14ac:dyDescent="0.35">
      <c r="A555" s="1">
        <v>45989</v>
      </c>
      <c r="B555" t="s">
        <v>462</v>
      </c>
      <c r="C555" t="s">
        <v>16</v>
      </c>
      <c r="D555" t="s">
        <v>17</v>
      </c>
      <c r="E555">
        <v>-3.33</v>
      </c>
      <c r="F555" t="s">
        <v>463</v>
      </c>
      <c r="G555">
        <v>3.33</v>
      </c>
      <c r="H555">
        <v>2025</v>
      </c>
      <c r="I555">
        <v>11</v>
      </c>
      <c r="J555" t="s">
        <v>68</v>
      </c>
      <c r="K555" s="1">
        <v>45989</v>
      </c>
      <c r="L555" t="s">
        <v>31</v>
      </c>
      <c r="M555" t="s">
        <v>21</v>
      </c>
      <c r="N555" t="b">
        <v>1</v>
      </c>
      <c r="O555">
        <v>1404</v>
      </c>
    </row>
    <row r="556" spans="1:15" x14ac:dyDescent="0.35">
      <c r="A556" s="1">
        <v>45856</v>
      </c>
      <c r="B556" t="s">
        <v>363</v>
      </c>
      <c r="C556" t="s">
        <v>158</v>
      </c>
      <c r="D556" t="s">
        <v>36</v>
      </c>
      <c r="E556">
        <v>18.170000000000002</v>
      </c>
      <c r="F556" t="s">
        <v>364</v>
      </c>
      <c r="G556">
        <v>18.170000000000002</v>
      </c>
      <c r="H556">
        <v>2025</v>
      </c>
      <c r="I556">
        <v>7</v>
      </c>
      <c r="J556" t="s">
        <v>73</v>
      </c>
      <c r="K556" s="1">
        <v>45856</v>
      </c>
      <c r="L556" t="s">
        <v>31</v>
      </c>
      <c r="M556" t="s">
        <v>39</v>
      </c>
      <c r="N556" t="b">
        <v>0</v>
      </c>
      <c r="O556">
        <v>1304</v>
      </c>
    </row>
    <row r="557" spans="1:15" x14ac:dyDescent="0.35">
      <c r="A557" s="1">
        <v>45885</v>
      </c>
      <c r="B557" t="s">
        <v>493</v>
      </c>
      <c r="C557" t="s">
        <v>168</v>
      </c>
      <c r="D557" t="s">
        <v>36</v>
      </c>
      <c r="E557">
        <v>56.64</v>
      </c>
      <c r="F557" t="s">
        <v>353</v>
      </c>
      <c r="G557">
        <v>56.64</v>
      </c>
      <c r="H557">
        <v>2025</v>
      </c>
      <c r="I557">
        <v>8</v>
      </c>
      <c r="J557" t="s">
        <v>71</v>
      </c>
      <c r="K557" s="1">
        <v>45885</v>
      </c>
      <c r="L557" t="s">
        <v>20</v>
      </c>
      <c r="M557" t="s">
        <v>39</v>
      </c>
      <c r="N557" t="b">
        <v>0</v>
      </c>
      <c r="O557">
        <v>1305</v>
      </c>
    </row>
    <row r="558" spans="1:15" x14ac:dyDescent="0.35">
      <c r="A558" s="1">
        <v>45989</v>
      </c>
      <c r="B558" t="s">
        <v>462</v>
      </c>
      <c r="C558" t="s">
        <v>16</v>
      </c>
      <c r="D558" t="s">
        <v>17</v>
      </c>
      <c r="E558">
        <v>-3.96</v>
      </c>
      <c r="F558" t="s">
        <v>463</v>
      </c>
      <c r="G558">
        <v>3.96</v>
      </c>
      <c r="H558">
        <v>2025</v>
      </c>
      <c r="I558">
        <v>11</v>
      </c>
      <c r="J558" t="s">
        <v>68</v>
      </c>
      <c r="K558" s="1">
        <v>45989</v>
      </c>
      <c r="L558" t="s">
        <v>31</v>
      </c>
      <c r="M558" t="s">
        <v>21</v>
      </c>
      <c r="N558" t="b">
        <v>1</v>
      </c>
      <c r="O558">
        <v>1405</v>
      </c>
    </row>
    <row r="559" spans="1:15" x14ac:dyDescent="0.35">
      <c r="A559" s="1">
        <v>45797</v>
      </c>
      <c r="B559" t="s">
        <v>359</v>
      </c>
      <c r="C559" t="s">
        <v>168</v>
      </c>
      <c r="D559" t="s">
        <v>36</v>
      </c>
      <c r="E559">
        <v>61.07</v>
      </c>
      <c r="F559" t="s">
        <v>323</v>
      </c>
      <c r="G559">
        <v>61.07</v>
      </c>
      <c r="H559">
        <v>2025</v>
      </c>
      <c r="I559">
        <v>5</v>
      </c>
      <c r="J559" t="s">
        <v>75</v>
      </c>
      <c r="K559" s="1">
        <v>45797</v>
      </c>
      <c r="L559" t="s">
        <v>50</v>
      </c>
      <c r="M559" t="s">
        <v>39</v>
      </c>
      <c r="N559" t="b">
        <v>0</v>
      </c>
      <c r="O559">
        <v>1348</v>
      </c>
    </row>
    <row r="560" spans="1:15" x14ac:dyDescent="0.35">
      <c r="A560" s="1">
        <v>45796</v>
      </c>
      <c r="B560" t="s">
        <v>288</v>
      </c>
      <c r="C560" t="s">
        <v>158</v>
      </c>
      <c r="D560" t="s">
        <v>36</v>
      </c>
      <c r="E560">
        <v>20</v>
      </c>
      <c r="F560" t="s">
        <v>289</v>
      </c>
      <c r="G560">
        <v>20</v>
      </c>
      <c r="H560">
        <v>2025</v>
      </c>
      <c r="I560">
        <v>5</v>
      </c>
      <c r="J560" t="s">
        <v>75</v>
      </c>
      <c r="K560" s="1">
        <v>45796</v>
      </c>
      <c r="L560" t="s">
        <v>38</v>
      </c>
      <c r="M560" t="s">
        <v>39</v>
      </c>
      <c r="N560" t="b">
        <v>0</v>
      </c>
      <c r="O560">
        <v>1349</v>
      </c>
    </row>
    <row r="561" spans="1:15" x14ac:dyDescent="0.35">
      <c r="A561" s="1">
        <v>45789</v>
      </c>
      <c r="B561" t="s">
        <v>346</v>
      </c>
      <c r="C561" t="s">
        <v>158</v>
      </c>
      <c r="D561" t="s">
        <v>36</v>
      </c>
      <c r="E561">
        <v>40</v>
      </c>
      <c r="F561" t="s">
        <v>347</v>
      </c>
      <c r="G561">
        <v>40</v>
      </c>
      <c r="H561">
        <v>2025</v>
      </c>
      <c r="I561">
        <v>5</v>
      </c>
      <c r="J561" t="s">
        <v>75</v>
      </c>
      <c r="K561" s="1">
        <v>45789</v>
      </c>
      <c r="L561" t="s">
        <v>38</v>
      </c>
      <c r="M561" t="s">
        <v>39</v>
      </c>
      <c r="N561" t="b">
        <v>0</v>
      </c>
      <c r="O561">
        <v>1350</v>
      </c>
    </row>
    <row r="562" spans="1:15" x14ac:dyDescent="0.35">
      <c r="A562" s="1">
        <v>45797</v>
      </c>
      <c r="B562" t="s">
        <v>173</v>
      </c>
      <c r="C562" t="s">
        <v>158</v>
      </c>
      <c r="D562" t="s">
        <v>36</v>
      </c>
      <c r="E562">
        <v>20</v>
      </c>
      <c r="F562" t="s">
        <v>174</v>
      </c>
      <c r="G562">
        <v>20</v>
      </c>
      <c r="H562">
        <v>2025</v>
      </c>
      <c r="I562">
        <v>5</v>
      </c>
      <c r="J562" t="s">
        <v>75</v>
      </c>
      <c r="K562" s="1">
        <v>45797</v>
      </c>
      <c r="L562" t="s">
        <v>50</v>
      </c>
      <c r="M562" t="s">
        <v>39</v>
      </c>
      <c r="N562" t="b">
        <v>0</v>
      </c>
      <c r="O562">
        <v>1361</v>
      </c>
    </row>
    <row r="563" spans="1:15" x14ac:dyDescent="0.35">
      <c r="A563" s="1">
        <v>45790</v>
      </c>
      <c r="B563" t="s">
        <v>363</v>
      </c>
      <c r="C563" t="s">
        <v>158</v>
      </c>
      <c r="D563" t="s">
        <v>36</v>
      </c>
      <c r="E563">
        <v>4.0599999999999996</v>
      </c>
      <c r="F563" t="s">
        <v>364</v>
      </c>
      <c r="G563">
        <v>4.0599999999999996</v>
      </c>
      <c r="H563">
        <v>2025</v>
      </c>
      <c r="I563">
        <v>5</v>
      </c>
      <c r="J563" t="s">
        <v>75</v>
      </c>
      <c r="K563" s="1">
        <v>45790</v>
      </c>
      <c r="L563" t="s">
        <v>50</v>
      </c>
      <c r="M563" t="s">
        <v>39</v>
      </c>
      <c r="N563" t="b">
        <v>0</v>
      </c>
      <c r="O563">
        <v>1402</v>
      </c>
    </row>
    <row r="564" spans="1:15" x14ac:dyDescent="0.35">
      <c r="A564" s="1">
        <v>45856</v>
      </c>
      <c r="B564" s="2" t="s">
        <v>494</v>
      </c>
      <c r="C564" t="s">
        <v>158</v>
      </c>
      <c r="D564" t="s">
        <v>36</v>
      </c>
      <c r="E564">
        <v>11</v>
      </c>
      <c r="F564" t="s">
        <v>203</v>
      </c>
      <c r="G564">
        <v>11</v>
      </c>
      <c r="H564">
        <v>2025</v>
      </c>
      <c r="I564">
        <v>7</v>
      </c>
      <c r="J564" t="s">
        <v>73</v>
      </c>
      <c r="K564" s="1">
        <v>45856</v>
      </c>
      <c r="L564" t="s">
        <v>31</v>
      </c>
      <c r="M564" t="s">
        <v>39</v>
      </c>
      <c r="N564" t="b">
        <v>0</v>
      </c>
      <c r="O564">
        <v>1498</v>
      </c>
    </row>
    <row r="565" spans="1:15" x14ac:dyDescent="0.35">
      <c r="A565" s="1">
        <v>45917</v>
      </c>
      <c r="B565" t="s">
        <v>446</v>
      </c>
      <c r="C565" t="s">
        <v>158</v>
      </c>
      <c r="D565" t="s">
        <v>36</v>
      </c>
      <c r="E565">
        <v>130</v>
      </c>
      <c r="F565" t="s">
        <v>447</v>
      </c>
      <c r="G565">
        <v>130</v>
      </c>
      <c r="H565">
        <v>2025</v>
      </c>
      <c r="I565">
        <v>9</v>
      </c>
      <c r="J565" t="s">
        <v>30</v>
      </c>
      <c r="K565" s="1">
        <v>45917</v>
      </c>
      <c r="L565" t="s">
        <v>58</v>
      </c>
      <c r="M565" t="s">
        <v>39</v>
      </c>
      <c r="N565" t="b">
        <v>0</v>
      </c>
      <c r="O565">
        <v>1499</v>
      </c>
    </row>
    <row r="566" spans="1:15" x14ac:dyDescent="0.35">
      <c r="A566" s="1">
        <v>45889</v>
      </c>
      <c r="B566" t="s">
        <v>495</v>
      </c>
      <c r="C566" t="s">
        <v>158</v>
      </c>
      <c r="D566" t="s">
        <v>36</v>
      </c>
      <c r="E566">
        <v>20</v>
      </c>
      <c r="F566" t="s">
        <v>289</v>
      </c>
      <c r="G566">
        <v>20</v>
      </c>
      <c r="H566">
        <v>2025</v>
      </c>
      <c r="I566">
        <v>8</v>
      </c>
      <c r="J566" t="s">
        <v>71</v>
      </c>
      <c r="K566" s="1">
        <v>45889</v>
      </c>
      <c r="L566" t="s">
        <v>58</v>
      </c>
      <c r="M566" t="s">
        <v>39</v>
      </c>
      <c r="N566" t="b">
        <v>0</v>
      </c>
      <c r="O566">
        <v>1500</v>
      </c>
    </row>
    <row r="567" spans="1:15" x14ac:dyDescent="0.35">
      <c r="A567" s="1">
        <v>45852</v>
      </c>
      <c r="B567" t="s">
        <v>495</v>
      </c>
      <c r="C567" t="s">
        <v>158</v>
      </c>
      <c r="D567" t="s">
        <v>36</v>
      </c>
      <c r="E567">
        <v>20</v>
      </c>
      <c r="F567" t="s">
        <v>289</v>
      </c>
      <c r="G567">
        <v>20</v>
      </c>
      <c r="H567">
        <v>2025</v>
      </c>
      <c r="I567">
        <v>7</v>
      </c>
      <c r="J567" t="s">
        <v>73</v>
      </c>
      <c r="K567" s="1">
        <v>45852</v>
      </c>
      <c r="L567" t="s">
        <v>38</v>
      </c>
      <c r="M567" t="s">
        <v>39</v>
      </c>
      <c r="N567" t="b">
        <v>0</v>
      </c>
      <c r="O567">
        <v>1501</v>
      </c>
    </row>
    <row r="568" spans="1:15" x14ac:dyDescent="0.35">
      <c r="A568" s="1">
        <v>45989</v>
      </c>
      <c r="B568" t="s">
        <v>462</v>
      </c>
      <c r="C568" t="s">
        <v>16</v>
      </c>
      <c r="D568" t="s">
        <v>17</v>
      </c>
      <c r="E568">
        <v>-6.25</v>
      </c>
      <c r="F568" t="s">
        <v>463</v>
      </c>
      <c r="G568">
        <v>6.25</v>
      </c>
      <c r="H568">
        <v>2025</v>
      </c>
      <c r="I568">
        <v>11</v>
      </c>
      <c r="J568" t="s">
        <v>68</v>
      </c>
      <c r="K568" s="1">
        <v>45989</v>
      </c>
      <c r="L568" t="s">
        <v>31</v>
      </c>
      <c r="M568" t="s">
        <v>21</v>
      </c>
      <c r="N568" t="b">
        <v>1</v>
      </c>
      <c r="O568">
        <v>1406</v>
      </c>
    </row>
    <row r="569" spans="1:15" x14ac:dyDescent="0.35">
      <c r="A569" s="1">
        <v>45989</v>
      </c>
      <c r="B569" t="s">
        <v>462</v>
      </c>
      <c r="C569" t="s">
        <v>16</v>
      </c>
      <c r="D569" t="s">
        <v>17</v>
      </c>
      <c r="E569">
        <v>-6.56</v>
      </c>
      <c r="F569" t="s">
        <v>463</v>
      </c>
      <c r="G569">
        <v>6.56</v>
      </c>
      <c r="H569">
        <v>2025</v>
      </c>
      <c r="I569">
        <v>11</v>
      </c>
      <c r="J569" t="s">
        <v>68</v>
      </c>
      <c r="K569" s="1">
        <v>45989</v>
      </c>
      <c r="L569" t="s">
        <v>31</v>
      </c>
      <c r="M569" t="s">
        <v>21</v>
      </c>
      <c r="N569" t="b">
        <v>1</v>
      </c>
      <c r="O569">
        <v>1407</v>
      </c>
    </row>
    <row r="570" spans="1:15" x14ac:dyDescent="0.35">
      <c r="A570" s="1">
        <v>46043</v>
      </c>
      <c r="B570" t="s">
        <v>496</v>
      </c>
      <c r="C570" t="s">
        <v>218</v>
      </c>
      <c r="D570" t="s">
        <v>36</v>
      </c>
      <c r="E570">
        <v>12.99</v>
      </c>
      <c r="F570" t="s">
        <v>497</v>
      </c>
      <c r="G570">
        <v>12.99</v>
      </c>
      <c r="H570">
        <v>2026</v>
      </c>
      <c r="I570">
        <v>1</v>
      </c>
      <c r="J570" t="s">
        <v>24</v>
      </c>
      <c r="K570" s="1">
        <v>46043</v>
      </c>
      <c r="L570" t="s">
        <v>58</v>
      </c>
      <c r="M570" t="s">
        <v>39</v>
      </c>
      <c r="N570" t="b">
        <v>1</v>
      </c>
      <c r="O570">
        <v>1413</v>
      </c>
    </row>
    <row r="571" spans="1:15" x14ac:dyDescent="0.35">
      <c r="A571" s="1">
        <v>46012</v>
      </c>
      <c r="B571" s="2" t="s">
        <v>498</v>
      </c>
      <c r="C571" t="s">
        <v>218</v>
      </c>
      <c r="D571" t="s">
        <v>36</v>
      </c>
      <c r="E571">
        <v>12.99</v>
      </c>
      <c r="F571" t="s">
        <v>497</v>
      </c>
      <c r="G571">
        <v>12.99</v>
      </c>
      <c r="H571">
        <v>2025</v>
      </c>
      <c r="I571">
        <v>12</v>
      </c>
      <c r="J571" t="s">
        <v>66</v>
      </c>
      <c r="K571" s="1">
        <v>46012</v>
      </c>
      <c r="L571" t="s">
        <v>41</v>
      </c>
      <c r="M571" t="s">
        <v>39</v>
      </c>
      <c r="N571" t="b">
        <v>1</v>
      </c>
      <c r="O571">
        <v>1414</v>
      </c>
    </row>
    <row r="572" spans="1:15" x14ac:dyDescent="0.35">
      <c r="A572" s="1">
        <v>45982</v>
      </c>
      <c r="B572" s="2" t="s">
        <v>499</v>
      </c>
      <c r="C572" t="s">
        <v>218</v>
      </c>
      <c r="D572" t="s">
        <v>36</v>
      </c>
      <c r="E572">
        <v>12.99</v>
      </c>
      <c r="F572" t="s">
        <v>497</v>
      </c>
      <c r="G572">
        <v>12.99</v>
      </c>
      <c r="H572">
        <v>2025</v>
      </c>
      <c r="I572">
        <v>11</v>
      </c>
      <c r="J572" t="s">
        <v>68</v>
      </c>
      <c r="K572" s="1">
        <v>45982</v>
      </c>
      <c r="L572" t="s">
        <v>31</v>
      </c>
      <c r="M572" t="s">
        <v>39</v>
      </c>
      <c r="N572" t="b">
        <v>1</v>
      </c>
      <c r="O572">
        <v>1415</v>
      </c>
    </row>
    <row r="573" spans="1:15" x14ac:dyDescent="0.35">
      <c r="A573" s="1">
        <v>45784</v>
      </c>
      <c r="B573" t="s">
        <v>462</v>
      </c>
      <c r="C573" t="s">
        <v>16</v>
      </c>
      <c r="D573" t="s">
        <v>17</v>
      </c>
      <c r="E573">
        <v>-16.309999999999999</v>
      </c>
      <c r="F573" t="s">
        <v>463</v>
      </c>
      <c r="G573">
        <v>16.309999999999999</v>
      </c>
      <c r="H573">
        <v>2025</v>
      </c>
      <c r="I573">
        <v>5</v>
      </c>
      <c r="J573" t="s">
        <v>75</v>
      </c>
      <c r="K573" s="1">
        <v>45784</v>
      </c>
      <c r="L573" t="s">
        <v>58</v>
      </c>
      <c r="M573" t="s">
        <v>21</v>
      </c>
      <c r="N573" t="b">
        <v>1</v>
      </c>
      <c r="O573">
        <v>1471</v>
      </c>
    </row>
    <row r="574" spans="1:15" x14ac:dyDescent="0.35">
      <c r="A574" s="1">
        <v>45889</v>
      </c>
      <c r="B574" t="s">
        <v>236</v>
      </c>
      <c r="C574" t="s">
        <v>137</v>
      </c>
      <c r="D574" t="s">
        <v>36</v>
      </c>
      <c r="E574">
        <v>20.47</v>
      </c>
      <c r="F574" t="s">
        <v>237</v>
      </c>
      <c r="G574">
        <v>20.47</v>
      </c>
      <c r="H574">
        <v>2025</v>
      </c>
      <c r="I574">
        <v>8</v>
      </c>
      <c r="J574" t="s">
        <v>71</v>
      </c>
      <c r="K574" s="1">
        <v>45889</v>
      </c>
      <c r="L574" t="s">
        <v>58</v>
      </c>
      <c r="M574" t="s">
        <v>39</v>
      </c>
      <c r="N574" t="b">
        <v>1</v>
      </c>
      <c r="O574">
        <v>1422</v>
      </c>
    </row>
    <row r="575" spans="1:15" x14ac:dyDescent="0.35">
      <c r="A575" s="1">
        <v>45870</v>
      </c>
      <c r="B575" t="s">
        <v>500</v>
      </c>
      <c r="C575" t="s">
        <v>137</v>
      </c>
      <c r="D575" t="s">
        <v>36</v>
      </c>
      <c r="E575">
        <v>17.68</v>
      </c>
      <c r="F575" t="s">
        <v>427</v>
      </c>
      <c r="G575">
        <v>17.68</v>
      </c>
      <c r="H575">
        <v>2025</v>
      </c>
      <c r="I575">
        <v>8</v>
      </c>
      <c r="J575" t="s">
        <v>71</v>
      </c>
      <c r="K575" s="1">
        <v>45870</v>
      </c>
      <c r="L575" t="s">
        <v>31</v>
      </c>
      <c r="M575" t="s">
        <v>39</v>
      </c>
      <c r="N575" t="b">
        <v>1</v>
      </c>
      <c r="O575">
        <v>1423</v>
      </c>
    </row>
    <row r="576" spans="1:15" x14ac:dyDescent="0.35">
      <c r="A576" s="1">
        <v>45861</v>
      </c>
      <c r="B576" t="s">
        <v>501</v>
      </c>
      <c r="C576" t="s">
        <v>137</v>
      </c>
      <c r="D576" t="s">
        <v>36</v>
      </c>
      <c r="E576">
        <v>18.59</v>
      </c>
      <c r="F576" t="s">
        <v>427</v>
      </c>
      <c r="G576">
        <v>18.59</v>
      </c>
      <c r="H576">
        <v>2025</v>
      </c>
      <c r="I576">
        <v>7</v>
      </c>
      <c r="J576" t="s">
        <v>73</v>
      </c>
      <c r="K576" s="1">
        <v>45861</v>
      </c>
      <c r="L576" t="s">
        <v>58</v>
      </c>
      <c r="M576" t="s">
        <v>39</v>
      </c>
      <c r="N576" t="b">
        <v>1</v>
      </c>
      <c r="O576">
        <v>1424</v>
      </c>
    </row>
    <row r="577" spans="1:15" x14ac:dyDescent="0.35">
      <c r="A577" s="1">
        <v>45857</v>
      </c>
      <c r="B577" s="2" t="s">
        <v>502</v>
      </c>
      <c r="C577" t="s">
        <v>137</v>
      </c>
      <c r="D577" t="s">
        <v>36</v>
      </c>
      <c r="E577">
        <v>85.37</v>
      </c>
      <c r="F577" t="s">
        <v>503</v>
      </c>
      <c r="G577">
        <v>85.37</v>
      </c>
      <c r="H577">
        <v>2025</v>
      </c>
      <c r="I577">
        <v>7</v>
      </c>
      <c r="J577" t="s">
        <v>73</v>
      </c>
      <c r="K577" s="1">
        <v>45857</v>
      </c>
      <c r="L577" t="s">
        <v>20</v>
      </c>
      <c r="M577" t="s">
        <v>39</v>
      </c>
      <c r="N577" t="b">
        <v>1</v>
      </c>
      <c r="O577">
        <v>1425</v>
      </c>
    </row>
    <row r="578" spans="1:15" x14ac:dyDescent="0.35">
      <c r="A578" s="1">
        <v>46103</v>
      </c>
      <c r="B578" t="s">
        <v>482</v>
      </c>
      <c r="C578" t="s">
        <v>367</v>
      </c>
      <c r="D578" t="s">
        <v>368</v>
      </c>
      <c r="E578">
        <v>-670.43</v>
      </c>
      <c r="F578" t="s">
        <v>369</v>
      </c>
      <c r="G578">
        <v>670.43</v>
      </c>
      <c r="H578">
        <v>2026</v>
      </c>
      <c r="I578">
        <v>3</v>
      </c>
      <c r="J578" t="s">
        <v>48</v>
      </c>
      <c r="K578" s="1">
        <v>46103</v>
      </c>
      <c r="L578" t="s">
        <v>41</v>
      </c>
      <c r="M578" t="s">
        <v>21</v>
      </c>
      <c r="N578" t="b">
        <v>0</v>
      </c>
      <c r="O578">
        <v>944</v>
      </c>
    </row>
    <row r="579" spans="1:15" x14ac:dyDescent="0.35">
      <c r="A579" s="1">
        <v>45891</v>
      </c>
      <c r="B579" t="s">
        <v>482</v>
      </c>
      <c r="C579" t="s">
        <v>367</v>
      </c>
      <c r="D579" t="s">
        <v>368</v>
      </c>
      <c r="E579">
        <v>-2286.41</v>
      </c>
      <c r="F579" t="s">
        <v>369</v>
      </c>
      <c r="G579">
        <v>2286.41</v>
      </c>
      <c r="H579">
        <v>2025</v>
      </c>
      <c r="I579">
        <v>8</v>
      </c>
      <c r="J579" t="s">
        <v>71</v>
      </c>
      <c r="K579" s="1">
        <v>45891</v>
      </c>
      <c r="L579" t="s">
        <v>31</v>
      </c>
      <c r="M579" t="s">
        <v>21</v>
      </c>
      <c r="N579" t="b">
        <v>0</v>
      </c>
      <c r="O579">
        <v>1785</v>
      </c>
    </row>
    <row r="580" spans="1:15" x14ac:dyDescent="0.35">
      <c r="A580" s="1">
        <v>45860</v>
      </c>
      <c r="B580" t="s">
        <v>482</v>
      </c>
      <c r="C580" t="s">
        <v>367</v>
      </c>
      <c r="D580" t="s">
        <v>368</v>
      </c>
      <c r="E580">
        <v>-2804.88</v>
      </c>
      <c r="F580" t="s">
        <v>369</v>
      </c>
      <c r="G580">
        <v>2804.88</v>
      </c>
      <c r="H580">
        <v>2025</v>
      </c>
      <c r="I580">
        <v>7</v>
      </c>
      <c r="J580" t="s">
        <v>73</v>
      </c>
      <c r="K580" s="1">
        <v>45860</v>
      </c>
      <c r="L580" t="s">
        <v>50</v>
      </c>
      <c r="M580" t="s">
        <v>21</v>
      </c>
      <c r="N580" t="b">
        <v>0</v>
      </c>
      <c r="O580">
        <v>1787</v>
      </c>
    </row>
    <row r="581" spans="1:15" x14ac:dyDescent="0.35">
      <c r="A581" s="1">
        <v>46084</v>
      </c>
      <c r="B581" t="s">
        <v>405</v>
      </c>
      <c r="C581" t="s">
        <v>406</v>
      </c>
      <c r="D581" t="s">
        <v>36</v>
      </c>
      <c r="E581">
        <v>35.18</v>
      </c>
      <c r="F581" t="s">
        <v>407</v>
      </c>
      <c r="G581">
        <v>35.18</v>
      </c>
      <c r="H581">
        <v>2026</v>
      </c>
      <c r="I581">
        <v>3</v>
      </c>
      <c r="J581" t="s">
        <v>48</v>
      </c>
      <c r="K581" s="1">
        <v>46084</v>
      </c>
      <c r="L581" t="s">
        <v>50</v>
      </c>
      <c r="M581" t="s">
        <v>39</v>
      </c>
      <c r="N581" t="b">
        <v>0</v>
      </c>
      <c r="O581">
        <v>1812</v>
      </c>
    </row>
    <row r="582" spans="1:15" x14ac:dyDescent="0.35">
      <c r="A582" s="1">
        <v>46056</v>
      </c>
      <c r="B582" t="s">
        <v>405</v>
      </c>
      <c r="C582" t="s">
        <v>406</v>
      </c>
      <c r="D582" t="s">
        <v>36</v>
      </c>
      <c r="E582">
        <v>66.069999999999993</v>
      </c>
      <c r="F582" t="s">
        <v>407</v>
      </c>
      <c r="G582">
        <v>66.069999999999993</v>
      </c>
      <c r="H582">
        <v>2026</v>
      </c>
      <c r="I582">
        <v>2</v>
      </c>
      <c r="J582" t="s">
        <v>19</v>
      </c>
      <c r="K582" s="1">
        <v>46056</v>
      </c>
      <c r="L582" t="s">
        <v>50</v>
      </c>
      <c r="M582" t="s">
        <v>39</v>
      </c>
      <c r="N582" t="b">
        <v>0</v>
      </c>
      <c r="O582">
        <v>1813</v>
      </c>
    </row>
    <row r="583" spans="1:15" x14ac:dyDescent="0.35">
      <c r="A583" s="1">
        <v>46047</v>
      </c>
      <c r="B583" t="s">
        <v>405</v>
      </c>
      <c r="C583" t="s">
        <v>406</v>
      </c>
      <c r="D583" t="s">
        <v>36</v>
      </c>
      <c r="E583">
        <v>10</v>
      </c>
      <c r="F583" t="s">
        <v>407</v>
      </c>
      <c r="G583">
        <v>10</v>
      </c>
      <c r="H583">
        <v>2026</v>
      </c>
      <c r="I583">
        <v>1</v>
      </c>
      <c r="J583" t="s">
        <v>24</v>
      </c>
      <c r="K583" s="1">
        <v>46047</v>
      </c>
      <c r="L583" t="s">
        <v>41</v>
      </c>
      <c r="M583" t="s">
        <v>39</v>
      </c>
      <c r="N583" t="b">
        <v>0</v>
      </c>
      <c r="O583">
        <v>1814</v>
      </c>
    </row>
    <row r="584" spans="1:15" x14ac:dyDescent="0.35">
      <c r="A584" s="1">
        <v>46047</v>
      </c>
      <c r="B584" t="s">
        <v>405</v>
      </c>
      <c r="C584" t="s">
        <v>406</v>
      </c>
      <c r="D584" t="s">
        <v>36</v>
      </c>
      <c r="E584">
        <v>6.07</v>
      </c>
      <c r="F584" t="s">
        <v>407</v>
      </c>
      <c r="G584">
        <v>6.07</v>
      </c>
      <c r="H584">
        <v>2026</v>
      </c>
      <c r="I584">
        <v>1</v>
      </c>
      <c r="J584" t="s">
        <v>24</v>
      </c>
      <c r="K584" s="1">
        <v>46047</v>
      </c>
      <c r="L584" t="s">
        <v>41</v>
      </c>
      <c r="M584" t="s">
        <v>39</v>
      </c>
      <c r="N584" t="b">
        <v>0</v>
      </c>
      <c r="O584">
        <v>1815</v>
      </c>
    </row>
    <row r="585" spans="1:15" x14ac:dyDescent="0.35">
      <c r="A585" s="1">
        <v>46025</v>
      </c>
      <c r="B585" t="s">
        <v>405</v>
      </c>
      <c r="C585" t="s">
        <v>406</v>
      </c>
      <c r="D585" t="s">
        <v>36</v>
      </c>
      <c r="E585">
        <v>35.18</v>
      </c>
      <c r="F585" t="s">
        <v>407</v>
      </c>
      <c r="G585">
        <v>35.18</v>
      </c>
      <c r="H585">
        <v>2026</v>
      </c>
      <c r="I585">
        <v>1</v>
      </c>
      <c r="J585" t="s">
        <v>24</v>
      </c>
      <c r="K585" s="1">
        <v>46025</v>
      </c>
      <c r="L585" t="s">
        <v>20</v>
      </c>
      <c r="M585" t="s">
        <v>39</v>
      </c>
      <c r="N585" t="b">
        <v>0</v>
      </c>
      <c r="O585">
        <v>1816</v>
      </c>
    </row>
    <row r="586" spans="1:15" x14ac:dyDescent="0.35">
      <c r="A586" s="1">
        <v>45998</v>
      </c>
      <c r="B586" t="s">
        <v>405</v>
      </c>
      <c r="C586" t="s">
        <v>406</v>
      </c>
      <c r="D586" t="s">
        <v>36</v>
      </c>
      <c r="E586">
        <v>10</v>
      </c>
      <c r="F586" t="s">
        <v>407</v>
      </c>
      <c r="G586">
        <v>10</v>
      </c>
      <c r="H586">
        <v>2025</v>
      </c>
      <c r="I586">
        <v>12</v>
      </c>
      <c r="J586" t="s">
        <v>66</v>
      </c>
      <c r="K586" s="1">
        <v>45998</v>
      </c>
      <c r="L586" t="s">
        <v>41</v>
      </c>
      <c r="M586" t="s">
        <v>39</v>
      </c>
      <c r="N586" t="b">
        <v>0</v>
      </c>
      <c r="O586">
        <v>1817</v>
      </c>
    </row>
    <row r="587" spans="1:15" x14ac:dyDescent="0.35">
      <c r="A587" s="1">
        <v>45994</v>
      </c>
      <c r="B587" t="s">
        <v>405</v>
      </c>
      <c r="C587" t="s">
        <v>406</v>
      </c>
      <c r="D587" t="s">
        <v>36</v>
      </c>
      <c r="E587">
        <v>25.19</v>
      </c>
      <c r="F587" t="s">
        <v>407</v>
      </c>
      <c r="G587">
        <v>25.19</v>
      </c>
      <c r="H587">
        <v>2025</v>
      </c>
      <c r="I587">
        <v>12</v>
      </c>
      <c r="J587" t="s">
        <v>66</v>
      </c>
      <c r="K587" s="1">
        <v>45994</v>
      </c>
      <c r="L587" t="s">
        <v>58</v>
      </c>
      <c r="M587" t="s">
        <v>39</v>
      </c>
      <c r="N587" t="b">
        <v>0</v>
      </c>
      <c r="O587">
        <v>1818</v>
      </c>
    </row>
    <row r="588" spans="1:15" x14ac:dyDescent="0.35">
      <c r="A588" s="1">
        <v>45964</v>
      </c>
      <c r="B588" t="s">
        <v>405</v>
      </c>
      <c r="C588" t="s">
        <v>406</v>
      </c>
      <c r="D588" t="s">
        <v>36</v>
      </c>
      <c r="E588">
        <v>25.19</v>
      </c>
      <c r="F588" t="s">
        <v>407</v>
      </c>
      <c r="G588">
        <v>25.19</v>
      </c>
      <c r="H588">
        <v>2025</v>
      </c>
      <c r="I588">
        <v>11</v>
      </c>
      <c r="J588" t="s">
        <v>68</v>
      </c>
      <c r="K588" s="1">
        <v>45964</v>
      </c>
      <c r="L588" t="s">
        <v>38</v>
      </c>
      <c r="M588" t="s">
        <v>39</v>
      </c>
      <c r="N588" t="b">
        <v>0</v>
      </c>
      <c r="O588">
        <v>1819</v>
      </c>
    </row>
    <row r="589" spans="1:15" x14ac:dyDescent="0.35">
      <c r="A589" s="1">
        <v>45933</v>
      </c>
      <c r="B589" t="s">
        <v>504</v>
      </c>
      <c r="C589" t="s">
        <v>406</v>
      </c>
      <c r="D589" t="s">
        <v>36</v>
      </c>
      <c r="E589">
        <v>25.19</v>
      </c>
      <c r="F589" t="s">
        <v>407</v>
      </c>
      <c r="G589">
        <v>25.19</v>
      </c>
      <c r="H589">
        <v>2025</v>
      </c>
      <c r="I589">
        <v>10</v>
      </c>
      <c r="J589" t="s">
        <v>57</v>
      </c>
      <c r="K589" s="1">
        <v>45933</v>
      </c>
      <c r="L589" t="s">
        <v>31</v>
      </c>
      <c r="M589" t="s">
        <v>39</v>
      </c>
      <c r="N589" t="b">
        <v>0</v>
      </c>
      <c r="O589">
        <v>1820</v>
      </c>
    </row>
    <row r="590" spans="1:15" x14ac:dyDescent="0.35">
      <c r="A590" s="1">
        <v>45903</v>
      </c>
      <c r="B590" s="2" t="s">
        <v>505</v>
      </c>
      <c r="C590" t="s">
        <v>406</v>
      </c>
      <c r="D590" t="s">
        <v>36</v>
      </c>
      <c r="E590">
        <v>25.18</v>
      </c>
      <c r="F590" t="s">
        <v>407</v>
      </c>
      <c r="G590">
        <v>25.18</v>
      </c>
      <c r="H590">
        <v>2025</v>
      </c>
      <c r="I590">
        <v>9</v>
      </c>
      <c r="J590" t="s">
        <v>30</v>
      </c>
      <c r="K590" s="1">
        <v>45903</v>
      </c>
      <c r="L590" t="s">
        <v>58</v>
      </c>
      <c r="M590" t="s">
        <v>39</v>
      </c>
      <c r="N590" t="b">
        <v>0</v>
      </c>
      <c r="O590">
        <v>1821</v>
      </c>
    </row>
    <row r="591" spans="1:15" x14ac:dyDescent="0.35">
      <c r="A591" s="1">
        <v>45872</v>
      </c>
      <c r="B591" t="s">
        <v>405</v>
      </c>
      <c r="C591" t="s">
        <v>406</v>
      </c>
      <c r="D591" t="s">
        <v>36</v>
      </c>
      <c r="E591">
        <v>25.18</v>
      </c>
      <c r="F591" t="s">
        <v>407</v>
      </c>
      <c r="G591">
        <v>25.18</v>
      </c>
      <c r="H591">
        <v>2025</v>
      </c>
      <c r="I591">
        <v>8</v>
      </c>
      <c r="J591" t="s">
        <v>71</v>
      </c>
      <c r="K591" s="1">
        <v>45872</v>
      </c>
      <c r="L591" t="s">
        <v>41</v>
      </c>
      <c r="M591" t="s">
        <v>39</v>
      </c>
      <c r="N591" t="b">
        <v>0</v>
      </c>
      <c r="O591">
        <v>1822</v>
      </c>
    </row>
    <row r="592" spans="1:15" x14ac:dyDescent="0.35">
      <c r="A592" s="1">
        <v>45841</v>
      </c>
      <c r="B592" t="s">
        <v>405</v>
      </c>
      <c r="C592" t="s">
        <v>406</v>
      </c>
      <c r="D592" t="s">
        <v>36</v>
      </c>
      <c r="E592">
        <v>25.18</v>
      </c>
      <c r="F592" t="s">
        <v>407</v>
      </c>
      <c r="G592">
        <v>25.18</v>
      </c>
      <c r="H592">
        <v>2025</v>
      </c>
      <c r="I592">
        <v>7</v>
      </c>
      <c r="J592" t="s">
        <v>73</v>
      </c>
      <c r="K592" s="1">
        <v>45841</v>
      </c>
      <c r="L592" t="s">
        <v>23</v>
      </c>
      <c r="M592" t="s">
        <v>39</v>
      </c>
      <c r="N592" t="b">
        <v>0</v>
      </c>
      <c r="O592">
        <v>1823</v>
      </c>
    </row>
    <row r="593" spans="1:15" x14ac:dyDescent="0.35">
      <c r="A593" s="1">
        <v>46075</v>
      </c>
      <c r="B593" t="s">
        <v>482</v>
      </c>
      <c r="C593" t="s">
        <v>367</v>
      </c>
      <c r="D593" t="s">
        <v>368</v>
      </c>
      <c r="E593">
        <v>-3317.47</v>
      </c>
      <c r="F593" t="s">
        <v>369</v>
      </c>
      <c r="G593">
        <v>3317.47</v>
      </c>
      <c r="H593">
        <v>2026</v>
      </c>
      <c r="I593">
        <v>2</v>
      </c>
      <c r="J593" t="s">
        <v>19</v>
      </c>
      <c r="K593" s="1">
        <v>46075</v>
      </c>
      <c r="L593" t="s">
        <v>41</v>
      </c>
      <c r="M593" t="s">
        <v>21</v>
      </c>
      <c r="N593" t="b">
        <v>0</v>
      </c>
      <c r="O593">
        <v>1774</v>
      </c>
    </row>
    <row r="594" spans="1:15" x14ac:dyDescent="0.35">
      <c r="A594" s="1">
        <v>46013</v>
      </c>
      <c r="B594" t="s">
        <v>482</v>
      </c>
      <c r="C594" t="s">
        <v>367</v>
      </c>
      <c r="D594" t="s">
        <v>368</v>
      </c>
      <c r="E594">
        <v>-2044.99</v>
      </c>
      <c r="F594" t="s">
        <v>369</v>
      </c>
      <c r="G594">
        <v>2044.99</v>
      </c>
      <c r="H594">
        <v>2025</v>
      </c>
      <c r="I594">
        <v>12</v>
      </c>
      <c r="J594" t="s">
        <v>66</v>
      </c>
      <c r="K594" s="1">
        <v>46013</v>
      </c>
      <c r="L594" t="s">
        <v>38</v>
      </c>
      <c r="M594" t="s">
        <v>21</v>
      </c>
      <c r="N594" t="b">
        <v>0</v>
      </c>
      <c r="O594">
        <v>1780</v>
      </c>
    </row>
    <row r="595" spans="1:15" x14ac:dyDescent="0.35">
      <c r="A595" s="1">
        <v>45982</v>
      </c>
      <c r="B595" t="s">
        <v>482</v>
      </c>
      <c r="C595" t="s">
        <v>367</v>
      </c>
      <c r="D595" t="s">
        <v>368</v>
      </c>
      <c r="E595">
        <v>-2679.76</v>
      </c>
      <c r="F595" t="s">
        <v>369</v>
      </c>
      <c r="G595">
        <v>2679.76</v>
      </c>
      <c r="H595">
        <v>2025</v>
      </c>
      <c r="I595">
        <v>11</v>
      </c>
      <c r="J595" t="s">
        <v>68</v>
      </c>
      <c r="K595" s="1">
        <v>45982</v>
      </c>
      <c r="L595" t="s">
        <v>31</v>
      </c>
      <c r="M595" t="s">
        <v>21</v>
      </c>
      <c r="N595" t="b">
        <v>0</v>
      </c>
      <c r="O595">
        <v>1782</v>
      </c>
    </row>
    <row r="596" spans="1:15" x14ac:dyDescent="0.35">
      <c r="A596" s="1">
        <v>45952</v>
      </c>
      <c r="B596" t="s">
        <v>482</v>
      </c>
      <c r="C596" t="s">
        <v>367</v>
      </c>
      <c r="D596" t="s">
        <v>368</v>
      </c>
      <c r="E596">
        <v>-1835.18</v>
      </c>
      <c r="F596" t="s">
        <v>369</v>
      </c>
      <c r="G596">
        <v>1835.18</v>
      </c>
      <c r="H596">
        <v>2025</v>
      </c>
      <c r="I596">
        <v>10</v>
      </c>
      <c r="J596" t="s">
        <v>57</v>
      </c>
      <c r="K596" s="1">
        <v>45952</v>
      </c>
      <c r="L596" t="s">
        <v>58</v>
      </c>
      <c r="M596" t="s">
        <v>21</v>
      </c>
      <c r="N596" t="b">
        <v>0</v>
      </c>
      <c r="O596">
        <v>1783</v>
      </c>
    </row>
    <row r="597" spans="1:15" x14ac:dyDescent="0.35">
      <c r="A597" s="1">
        <v>45922</v>
      </c>
      <c r="B597" t="s">
        <v>482</v>
      </c>
      <c r="C597" t="s">
        <v>367</v>
      </c>
      <c r="D597" t="s">
        <v>368</v>
      </c>
      <c r="E597">
        <v>-2653.35</v>
      </c>
      <c r="F597" t="s">
        <v>369</v>
      </c>
      <c r="G597">
        <v>2653.35</v>
      </c>
      <c r="H597">
        <v>2025</v>
      </c>
      <c r="I597">
        <v>9</v>
      </c>
      <c r="J597" t="s">
        <v>30</v>
      </c>
      <c r="K597" s="1">
        <v>45922</v>
      </c>
      <c r="L597" t="s">
        <v>38</v>
      </c>
      <c r="M597" t="s">
        <v>21</v>
      </c>
      <c r="N597" t="b">
        <v>0</v>
      </c>
      <c r="O597">
        <v>1784</v>
      </c>
    </row>
    <row r="598" spans="1:15" x14ac:dyDescent="0.35">
      <c r="A598" s="1">
        <v>46066</v>
      </c>
      <c r="B598" t="s">
        <v>471</v>
      </c>
      <c r="C598" t="s">
        <v>367</v>
      </c>
      <c r="D598" t="s">
        <v>368</v>
      </c>
      <c r="E598">
        <v>-2000</v>
      </c>
      <c r="F598" t="s">
        <v>369</v>
      </c>
      <c r="G598">
        <v>2000</v>
      </c>
      <c r="H598">
        <v>2026</v>
      </c>
      <c r="I598">
        <v>2</v>
      </c>
      <c r="J598" t="s">
        <v>19</v>
      </c>
      <c r="K598" s="1">
        <v>46066</v>
      </c>
      <c r="L598" t="s">
        <v>31</v>
      </c>
      <c r="M598" t="s">
        <v>21</v>
      </c>
      <c r="N598" t="b">
        <v>0</v>
      </c>
      <c r="O598">
        <v>1776</v>
      </c>
    </row>
    <row r="599" spans="1:15" x14ac:dyDescent="0.35">
      <c r="A599" s="1">
        <v>46048</v>
      </c>
      <c r="B599" t="s">
        <v>471</v>
      </c>
      <c r="C599" t="s">
        <v>367</v>
      </c>
      <c r="D599" t="s">
        <v>368</v>
      </c>
      <c r="E599">
        <v>-2000</v>
      </c>
      <c r="F599" t="s">
        <v>369</v>
      </c>
      <c r="G599">
        <v>2000</v>
      </c>
      <c r="H599">
        <v>2026</v>
      </c>
      <c r="I599">
        <v>1</v>
      </c>
      <c r="J599" t="s">
        <v>24</v>
      </c>
      <c r="K599" s="1">
        <v>46048</v>
      </c>
      <c r="L599" t="s">
        <v>38</v>
      </c>
      <c r="M599" t="s">
        <v>21</v>
      </c>
      <c r="N599" t="b">
        <v>0</v>
      </c>
      <c r="O599">
        <v>1777</v>
      </c>
    </row>
    <row r="600" spans="1:15" x14ac:dyDescent="0.35">
      <c r="A600" s="1">
        <v>45830</v>
      </c>
      <c r="B600" t="s">
        <v>482</v>
      </c>
      <c r="C600" t="s">
        <v>367</v>
      </c>
      <c r="D600" t="s">
        <v>368</v>
      </c>
      <c r="E600">
        <v>-2812.91</v>
      </c>
      <c r="F600" t="s">
        <v>369</v>
      </c>
      <c r="G600">
        <v>2812.91</v>
      </c>
      <c r="H600">
        <v>2025</v>
      </c>
      <c r="I600">
        <v>6</v>
      </c>
      <c r="J600" t="s">
        <v>33</v>
      </c>
      <c r="K600" s="1">
        <v>45830</v>
      </c>
      <c r="L600" t="s">
        <v>41</v>
      </c>
      <c r="M600" t="s">
        <v>21</v>
      </c>
      <c r="N600" t="b">
        <v>0</v>
      </c>
      <c r="O600">
        <v>1788</v>
      </c>
    </row>
    <row r="601" spans="1:15" x14ac:dyDescent="0.35">
      <c r="A601" s="1">
        <v>46101</v>
      </c>
      <c r="B601" t="s">
        <v>180</v>
      </c>
      <c r="C601" t="s">
        <v>137</v>
      </c>
      <c r="D601" t="s">
        <v>36</v>
      </c>
      <c r="E601">
        <v>12.63</v>
      </c>
      <c r="F601" t="s">
        <v>181</v>
      </c>
      <c r="G601">
        <v>12.63</v>
      </c>
      <c r="H601">
        <v>2026</v>
      </c>
      <c r="I601">
        <v>3</v>
      </c>
      <c r="J601" t="s">
        <v>48</v>
      </c>
      <c r="K601" s="1">
        <v>46101</v>
      </c>
      <c r="L601" t="s">
        <v>31</v>
      </c>
      <c r="M601" t="s">
        <v>39</v>
      </c>
      <c r="N601" t="b">
        <v>1</v>
      </c>
      <c r="O601">
        <v>114</v>
      </c>
    </row>
    <row r="602" spans="1:15" x14ac:dyDescent="0.35">
      <c r="A602" s="1">
        <v>45808</v>
      </c>
      <c r="B602" t="s">
        <v>452</v>
      </c>
      <c r="C602" t="s">
        <v>137</v>
      </c>
      <c r="D602" t="s">
        <v>36</v>
      </c>
      <c r="E602">
        <v>11.44</v>
      </c>
      <c r="F602" t="s">
        <v>189</v>
      </c>
      <c r="G602">
        <v>11.44</v>
      </c>
      <c r="H602">
        <v>2025</v>
      </c>
      <c r="I602">
        <v>5</v>
      </c>
      <c r="J602" t="s">
        <v>75</v>
      </c>
      <c r="K602" s="1">
        <v>45808</v>
      </c>
      <c r="L602" t="s">
        <v>20</v>
      </c>
      <c r="M602" t="s">
        <v>39</v>
      </c>
      <c r="N602" t="b">
        <v>1</v>
      </c>
      <c r="O602">
        <v>221</v>
      </c>
    </row>
    <row r="603" spans="1:15" x14ac:dyDescent="0.35">
      <c r="A603" s="1">
        <v>45803</v>
      </c>
      <c r="B603" t="s">
        <v>452</v>
      </c>
      <c r="C603" t="s">
        <v>137</v>
      </c>
      <c r="D603" t="s">
        <v>36</v>
      </c>
      <c r="E603">
        <v>6.24</v>
      </c>
      <c r="F603" t="s">
        <v>189</v>
      </c>
      <c r="G603">
        <v>6.24</v>
      </c>
      <c r="H603">
        <v>2025</v>
      </c>
      <c r="I603">
        <v>5</v>
      </c>
      <c r="J603" t="s">
        <v>75</v>
      </c>
      <c r="K603" s="1">
        <v>45803</v>
      </c>
      <c r="L603" t="s">
        <v>38</v>
      </c>
      <c r="M603" t="s">
        <v>39</v>
      </c>
      <c r="N603" t="b">
        <v>1</v>
      </c>
      <c r="O603">
        <v>222</v>
      </c>
    </row>
    <row r="604" spans="1:15" x14ac:dyDescent="0.35">
      <c r="A604" s="1">
        <v>46005</v>
      </c>
      <c r="B604" t="s">
        <v>454</v>
      </c>
      <c r="C604" t="s">
        <v>137</v>
      </c>
      <c r="D604" t="s">
        <v>36</v>
      </c>
      <c r="E604">
        <v>25.64</v>
      </c>
      <c r="F604" t="s">
        <v>235</v>
      </c>
      <c r="G604">
        <v>25.64</v>
      </c>
      <c r="H604">
        <v>2025</v>
      </c>
      <c r="I604">
        <v>12</v>
      </c>
      <c r="J604" t="s">
        <v>66</v>
      </c>
      <c r="K604" s="1">
        <v>46005</v>
      </c>
      <c r="L604" t="s">
        <v>41</v>
      </c>
      <c r="M604" t="s">
        <v>39</v>
      </c>
      <c r="N604" t="b">
        <v>1</v>
      </c>
      <c r="O604">
        <v>223</v>
      </c>
    </row>
    <row r="605" spans="1:15" x14ac:dyDescent="0.35">
      <c r="A605" s="1">
        <v>45801</v>
      </c>
      <c r="B605" t="s">
        <v>467</v>
      </c>
      <c r="C605" t="s">
        <v>137</v>
      </c>
      <c r="D605" t="s">
        <v>36</v>
      </c>
      <c r="E605">
        <v>26.79</v>
      </c>
      <c r="F605" t="s">
        <v>235</v>
      </c>
      <c r="G605">
        <v>26.79</v>
      </c>
      <c r="H605">
        <v>2025</v>
      </c>
      <c r="I605">
        <v>5</v>
      </c>
      <c r="J605" t="s">
        <v>75</v>
      </c>
      <c r="K605" s="1">
        <v>45801</v>
      </c>
      <c r="L605" t="s">
        <v>20</v>
      </c>
      <c r="M605" t="s">
        <v>39</v>
      </c>
      <c r="N605" t="b">
        <v>1</v>
      </c>
      <c r="O605">
        <v>224</v>
      </c>
    </row>
    <row r="606" spans="1:15" x14ac:dyDescent="0.35">
      <c r="A606" s="1">
        <v>46027</v>
      </c>
      <c r="B606" t="s">
        <v>180</v>
      </c>
      <c r="C606" t="s">
        <v>137</v>
      </c>
      <c r="D606" t="s">
        <v>36</v>
      </c>
      <c r="E606">
        <v>10.71</v>
      </c>
      <c r="F606" t="s">
        <v>181</v>
      </c>
      <c r="G606">
        <v>10.71</v>
      </c>
      <c r="H606">
        <v>2026</v>
      </c>
      <c r="I606">
        <v>1</v>
      </c>
      <c r="J606" t="s">
        <v>24</v>
      </c>
      <c r="K606" s="1">
        <v>46027</v>
      </c>
      <c r="L606" t="s">
        <v>38</v>
      </c>
      <c r="M606" t="s">
        <v>39</v>
      </c>
      <c r="N606" t="b">
        <v>1</v>
      </c>
      <c r="O606">
        <v>226</v>
      </c>
    </row>
    <row r="607" spans="1:15" x14ac:dyDescent="0.35">
      <c r="A607" s="1">
        <v>46018</v>
      </c>
      <c r="B607" s="2" t="s">
        <v>366</v>
      </c>
      <c r="C607" t="s">
        <v>367</v>
      </c>
      <c r="D607" t="s">
        <v>368</v>
      </c>
      <c r="E607">
        <v>-351.05</v>
      </c>
      <c r="F607" t="s">
        <v>369</v>
      </c>
      <c r="G607">
        <v>351.05</v>
      </c>
      <c r="H607">
        <v>2025</v>
      </c>
      <c r="I607">
        <v>12</v>
      </c>
      <c r="J607" t="s">
        <v>66</v>
      </c>
      <c r="K607" s="1">
        <v>46018</v>
      </c>
      <c r="L607" t="s">
        <v>20</v>
      </c>
      <c r="M607" t="s">
        <v>21</v>
      </c>
      <c r="N607" t="b">
        <v>0</v>
      </c>
      <c r="O607">
        <v>1395</v>
      </c>
    </row>
    <row r="608" spans="1:15" x14ac:dyDescent="0.35">
      <c r="A608" s="1">
        <v>45865</v>
      </c>
      <c r="B608" s="2" t="s">
        <v>366</v>
      </c>
      <c r="C608" t="s">
        <v>367</v>
      </c>
      <c r="D608" t="s">
        <v>368</v>
      </c>
      <c r="E608">
        <v>-111.87</v>
      </c>
      <c r="F608" t="s">
        <v>369</v>
      </c>
      <c r="G608">
        <v>111.87</v>
      </c>
      <c r="H608">
        <v>2025</v>
      </c>
      <c r="I608">
        <v>7</v>
      </c>
      <c r="J608" t="s">
        <v>73</v>
      </c>
      <c r="K608" s="1">
        <v>45865</v>
      </c>
      <c r="L608" t="s">
        <v>41</v>
      </c>
      <c r="M608" t="s">
        <v>21</v>
      </c>
      <c r="N608" t="b">
        <v>0</v>
      </c>
      <c r="O608">
        <v>1427</v>
      </c>
    </row>
    <row r="609" spans="1:15" x14ac:dyDescent="0.35">
      <c r="A609" s="1">
        <v>45835</v>
      </c>
      <c r="B609" s="2" t="s">
        <v>506</v>
      </c>
      <c r="C609" t="s">
        <v>367</v>
      </c>
      <c r="D609" t="s">
        <v>368</v>
      </c>
      <c r="E609">
        <v>-290.86</v>
      </c>
      <c r="F609" t="s">
        <v>369</v>
      </c>
      <c r="G609">
        <v>290.86</v>
      </c>
      <c r="H609">
        <v>2025</v>
      </c>
      <c r="I609">
        <v>6</v>
      </c>
      <c r="J609" t="s">
        <v>33</v>
      </c>
      <c r="K609" s="1">
        <v>45835</v>
      </c>
      <c r="L609" t="s">
        <v>31</v>
      </c>
      <c r="M609" t="s">
        <v>21</v>
      </c>
      <c r="N609" t="b">
        <v>0</v>
      </c>
      <c r="O609">
        <v>1428</v>
      </c>
    </row>
    <row r="610" spans="1:15" x14ac:dyDescent="0.35">
      <c r="A610" s="1">
        <v>46006</v>
      </c>
      <c r="B610" t="s">
        <v>180</v>
      </c>
      <c r="C610" t="s">
        <v>137</v>
      </c>
      <c r="D610" t="s">
        <v>36</v>
      </c>
      <c r="E610">
        <v>12.17</v>
      </c>
      <c r="F610" t="s">
        <v>181</v>
      </c>
      <c r="G610">
        <v>12.17</v>
      </c>
      <c r="H610">
        <v>2025</v>
      </c>
      <c r="I610">
        <v>12</v>
      </c>
      <c r="J610" t="s">
        <v>66</v>
      </c>
      <c r="K610" s="1">
        <v>46006</v>
      </c>
      <c r="L610" t="s">
        <v>38</v>
      </c>
      <c r="M610" t="s">
        <v>39</v>
      </c>
      <c r="N610" t="b">
        <v>1</v>
      </c>
      <c r="O610">
        <v>227</v>
      </c>
    </row>
    <row r="611" spans="1:15" x14ac:dyDescent="0.35">
      <c r="A611" s="1">
        <v>45987</v>
      </c>
      <c r="B611" t="s">
        <v>180</v>
      </c>
      <c r="C611" t="s">
        <v>137</v>
      </c>
      <c r="D611" t="s">
        <v>36</v>
      </c>
      <c r="E611">
        <v>12.17</v>
      </c>
      <c r="F611" t="s">
        <v>181</v>
      </c>
      <c r="G611">
        <v>12.17</v>
      </c>
      <c r="H611">
        <v>2025</v>
      </c>
      <c r="I611">
        <v>11</v>
      </c>
      <c r="J611" t="s">
        <v>68</v>
      </c>
      <c r="K611" s="1">
        <v>45987</v>
      </c>
      <c r="L611" t="s">
        <v>58</v>
      </c>
      <c r="M611" t="s">
        <v>39</v>
      </c>
      <c r="N611" t="b">
        <v>1</v>
      </c>
      <c r="O611">
        <v>228</v>
      </c>
    </row>
    <row r="612" spans="1:15" x14ac:dyDescent="0.35">
      <c r="A612" s="1">
        <v>45966</v>
      </c>
      <c r="B612" t="s">
        <v>180</v>
      </c>
      <c r="C612" t="s">
        <v>137</v>
      </c>
      <c r="D612" t="s">
        <v>36</v>
      </c>
      <c r="E612">
        <v>11.46</v>
      </c>
      <c r="F612" t="s">
        <v>181</v>
      </c>
      <c r="G612">
        <v>11.46</v>
      </c>
      <c r="H612">
        <v>2025</v>
      </c>
      <c r="I612">
        <v>11</v>
      </c>
      <c r="J612" t="s">
        <v>68</v>
      </c>
      <c r="K612" s="1">
        <v>45966</v>
      </c>
      <c r="L612" t="s">
        <v>58</v>
      </c>
      <c r="M612" t="s">
        <v>39</v>
      </c>
      <c r="N612" t="b">
        <v>1</v>
      </c>
      <c r="O612">
        <v>229</v>
      </c>
    </row>
    <row r="613" spans="1:15" x14ac:dyDescent="0.35">
      <c r="A613" s="1">
        <v>45955</v>
      </c>
      <c r="B613" t="s">
        <v>180</v>
      </c>
      <c r="C613" t="s">
        <v>137</v>
      </c>
      <c r="D613" t="s">
        <v>36</v>
      </c>
      <c r="E613">
        <v>23.32</v>
      </c>
      <c r="F613" t="s">
        <v>181</v>
      </c>
      <c r="G613">
        <v>23.32</v>
      </c>
      <c r="H613">
        <v>2025</v>
      </c>
      <c r="I613">
        <v>10</v>
      </c>
      <c r="J613" t="s">
        <v>57</v>
      </c>
      <c r="K613" s="1">
        <v>45955</v>
      </c>
      <c r="L613" t="s">
        <v>20</v>
      </c>
      <c r="M613" t="s">
        <v>39</v>
      </c>
      <c r="N613" t="b">
        <v>1</v>
      </c>
      <c r="O613">
        <v>230</v>
      </c>
    </row>
    <row r="614" spans="1:15" x14ac:dyDescent="0.35">
      <c r="A614" s="1">
        <v>46003</v>
      </c>
      <c r="B614" t="s">
        <v>507</v>
      </c>
      <c r="C614" t="s">
        <v>137</v>
      </c>
      <c r="D614" t="s">
        <v>36</v>
      </c>
      <c r="E614">
        <v>14.52</v>
      </c>
      <c r="F614" t="s">
        <v>427</v>
      </c>
      <c r="G614">
        <v>14.52</v>
      </c>
      <c r="H614">
        <v>2025</v>
      </c>
      <c r="I614">
        <v>12</v>
      </c>
      <c r="J614" t="s">
        <v>66</v>
      </c>
      <c r="K614" s="1">
        <v>46003</v>
      </c>
      <c r="L614" t="s">
        <v>31</v>
      </c>
      <c r="M614" t="s">
        <v>39</v>
      </c>
      <c r="N614" t="b">
        <v>1</v>
      </c>
      <c r="O614">
        <v>231</v>
      </c>
    </row>
    <row r="615" spans="1:15" x14ac:dyDescent="0.35">
      <c r="A615" s="1">
        <v>45953</v>
      </c>
      <c r="B615" t="s">
        <v>180</v>
      </c>
      <c r="C615" t="s">
        <v>137</v>
      </c>
      <c r="D615" t="s">
        <v>36</v>
      </c>
      <c r="E615">
        <v>17.62</v>
      </c>
      <c r="F615" t="s">
        <v>181</v>
      </c>
      <c r="G615">
        <v>17.62</v>
      </c>
      <c r="H615">
        <v>2025</v>
      </c>
      <c r="I615">
        <v>10</v>
      </c>
      <c r="J615" t="s">
        <v>57</v>
      </c>
      <c r="K615" s="1">
        <v>45953</v>
      </c>
      <c r="L615" t="s">
        <v>23</v>
      </c>
      <c r="M615" t="s">
        <v>39</v>
      </c>
      <c r="N615" t="b">
        <v>1</v>
      </c>
      <c r="O615">
        <v>232</v>
      </c>
    </row>
    <row r="616" spans="1:15" x14ac:dyDescent="0.35">
      <c r="A616" s="1">
        <v>45952</v>
      </c>
      <c r="B616" t="s">
        <v>508</v>
      </c>
      <c r="C616" t="s">
        <v>137</v>
      </c>
      <c r="D616" t="s">
        <v>36</v>
      </c>
      <c r="E616">
        <v>14.82</v>
      </c>
      <c r="F616" t="s">
        <v>181</v>
      </c>
      <c r="G616">
        <v>14.82</v>
      </c>
      <c r="H616">
        <v>2025</v>
      </c>
      <c r="I616">
        <v>10</v>
      </c>
      <c r="J616" t="s">
        <v>57</v>
      </c>
      <c r="K616" s="1">
        <v>45952</v>
      </c>
      <c r="L616" t="s">
        <v>58</v>
      </c>
      <c r="M616" t="s">
        <v>39</v>
      </c>
      <c r="N616" t="b">
        <v>1</v>
      </c>
      <c r="O616">
        <v>233</v>
      </c>
    </row>
    <row r="617" spans="1:15" x14ac:dyDescent="0.35">
      <c r="A617" s="1">
        <v>45943</v>
      </c>
      <c r="B617" t="s">
        <v>180</v>
      </c>
      <c r="C617" t="s">
        <v>137</v>
      </c>
      <c r="D617" t="s">
        <v>36</v>
      </c>
      <c r="E617">
        <v>16.27</v>
      </c>
      <c r="F617" t="s">
        <v>181</v>
      </c>
      <c r="G617">
        <v>16.27</v>
      </c>
      <c r="H617">
        <v>2025</v>
      </c>
      <c r="I617">
        <v>10</v>
      </c>
      <c r="J617" t="s">
        <v>57</v>
      </c>
      <c r="K617" s="1">
        <v>45943</v>
      </c>
      <c r="L617" t="s">
        <v>38</v>
      </c>
      <c r="M617" t="s">
        <v>39</v>
      </c>
      <c r="N617" t="b">
        <v>1</v>
      </c>
      <c r="O617">
        <v>234</v>
      </c>
    </row>
    <row r="618" spans="1:15" x14ac:dyDescent="0.35">
      <c r="A618" s="1">
        <v>45913</v>
      </c>
      <c r="B618" t="s">
        <v>180</v>
      </c>
      <c r="C618" t="s">
        <v>137</v>
      </c>
      <c r="D618" t="s">
        <v>36</v>
      </c>
      <c r="E618">
        <v>11.9</v>
      </c>
      <c r="F618" t="s">
        <v>181</v>
      </c>
      <c r="G618">
        <v>11.9</v>
      </c>
      <c r="H618">
        <v>2025</v>
      </c>
      <c r="I618">
        <v>9</v>
      </c>
      <c r="J618" t="s">
        <v>30</v>
      </c>
      <c r="K618" s="1">
        <v>45913</v>
      </c>
      <c r="L618" t="s">
        <v>20</v>
      </c>
      <c r="M618" t="s">
        <v>39</v>
      </c>
      <c r="N618" t="b">
        <v>1</v>
      </c>
      <c r="O618">
        <v>235</v>
      </c>
    </row>
    <row r="619" spans="1:15" x14ac:dyDescent="0.35">
      <c r="A619" s="1">
        <v>45945</v>
      </c>
      <c r="B619" t="s">
        <v>509</v>
      </c>
      <c r="C619" t="s">
        <v>137</v>
      </c>
      <c r="D619" t="s">
        <v>36</v>
      </c>
      <c r="E619">
        <v>26.15</v>
      </c>
      <c r="F619" t="s">
        <v>510</v>
      </c>
      <c r="G619">
        <v>26.15</v>
      </c>
      <c r="H619">
        <v>2025</v>
      </c>
      <c r="I619">
        <v>10</v>
      </c>
      <c r="J619" t="s">
        <v>57</v>
      </c>
      <c r="K619" s="1">
        <v>45945</v>
      </c>
      <c r="L619" t="s">
        <v>58</v>
      </c>
      <c r="M619" t="s">
        <v>39</v>
      </c>
      <c r="N619" t="b">
        <v>1</v>
      </c>
      <c r="O619">
        <v>237</v>
      </c>
    </row>
    <row r="620" spans="1:15" x14ac:dyDescent="0.35">
      <c r="A620" s="1">
        <v>45790</v>
      </c>
      <c r="B620" t="s">
        <v>224</v>
      </c>
      <c r="C620" t="s">
        <v>137</v>
      </c>
      <c r="D620" t="s">
        <v>36</v>
      </c>
      <c r="E620">
        <v>15.66</v>
      </c>
      <c r="F620" t="s">
        <v>181</v>
      </c>
      <c r="G620">
        <v>15.66</v>
      </c>
      <c r="H620">
        <v>2025</v>
      </c>
      <c r="I620">
        <v>5</v>
      </c>
      <c r="J620" t="s">
        <v>75</v>
      </c>
      <c r="K620" s="1">
        <v>45790</v>
      </c>
      <c r="L620" t="s">
        <v>50</v>
      </c>
      <c r="M620" t="s">
        <v>39</v>
      </c>
      <c r="N620" t="b">
        <v>1</v>
      </c>
      <c r="O620">
        <v>238</v>
      </c>
    </row>
    <row r="621" spans="1:15" x14ac:dyDescent="0.35">
      <c r="A621" s="1">
        <v>45800</v>
      </c>
      <c r="B621" t="s">
        <v>426</v>
      </c>
      <c r="C621" t="s">
        <v>137</v>
      </c>
      <c r="D621" t="s">
        <v>36</v>
      </c>
      <c r="E621">
        <v>18.37</v>
      </c>
      <c r="F621" t="s">
        <v>427</v>
      </c>
      <c r="G621">
        <v>18.37</v>
      </c>
      <c r="H621">
        <v>2025</v>
      </c>
      <c r="I621">
        <v>5</v>
      </c>
      <c r="J621" t="s">
        <v>75</v>
      </c>
      <c r="K621" s="1">
        <v>45800</v>
      </c>
      <c r="L621" t="s">
        <v>31</v>
      </c>
      <c r="M621" t="s">
        <v>39</v>
      </c>
      <c r="N621" t="b">
        <v>1</v>
      </c>
      <c r="O621">
        <v>241</v>
      </c>
    </row>
    <row r="622" spans="1:15" x14ac:dyDescent="0.35">
      <c r="A622" s="1">
        <v>45799</v>
      </c>
      <c r="B622" t="s">
        <v>511</v>
      </c>
      <c r="C622" t="s">
        <v>137</v>
      </c>
      <c r="D622" t="s">
        <v>36</v>
      </c>
      <c r="E622">
        <v>11.24</v>
      </c>
      <c r="F622" t="s">
        <v>512</v>
      </c>
      <c r="G622">
        <v>11.24</v>
      </c>
      <c r="H622">
        <v>2025</v>
      </c>
      <c r="I622">
        <v>5</v>
      </c>
      <c r="J622" t="s">
        <v>75</v>
      </c>
      <c r="K622" s="1">
        <v>45799</v>
      </c>
      <c r="L622" t="s">
        <v>23</v>
      </c>
      <c r="M622" t="s">
        <v>39</v>
      </c>
      <c r="N622" t="b">
        <v>1</v>
      </c>
      <c r="O622">
        <v>242</v>
      </c>
    </row>
    <row r="623" spans="1:15" x14ac:dyDescent="0.35">
      <c r="A623" s="1">
        <v>45924</v>
      </c>
      <c r="B623" s="2" t="s">
        <v>513</v>
      </c>
      <c r="C623" t="s">
        <v>137</v>
      </c>
      <c r="D623" t="s">
        <v>36</v>
      </c>
      <c r="E623">
        <v>23.06</v>
      </c>
      <c r="F623" t="s">
        <v>237</v>
      </c>
      <c r="G623">
        <v>23.06</v>
      </c>
      <c r="H623">
        <v>2025</v>
      </c>
      <c r="I623">
        <v>9</v>
      </c>
      <c r="J623" t="s">
        <v>30</v>
      </c>
      <c r="K623" s="1">
        <v>45924</v>
      </c>
      <c r="L623" t="s">
        <v>58</v>
      </c>
      <c r="M623" t="s">
        <v>39</v>
      </c>
      <c r="N623" t="b">
        <v>1</v>
      </c>
      <c r="O623">
        <v>243</v>
      </c>
    </row>
    <row r="624" spans="1:15" x14ac:dyDescent="0.35">
      <c r="A624" s="1">
        <v>45834</v>
      </c>
      <c r="B624" t="s">
        <v>236</v>
      </c>
      <c r="C624" t="s">
        <v>137</v>
      </c>
      <c r="D624" t="s">
        <v>36</v>
      </c>
      <c r="E624">
        <v>16.7</v>
      </c>
      <c r="F624" t="s">
        <v>237</v>
      </c>
      <c r="G624">
        <v>16.7</v>
      </c>
      <c r="H624">
        <v>2025</v>
      </c>
      <c r="I624">
        <v>6</v>
      </c>
      <c r="J624" t="s">
        <v>33</v>
      </c>
      <c r="K624" s="1">
        <v>45834</v>
      </c>
      <c r="L624" t="s">
        <v>23</v>
      </c>
      <c r="M624" t="s">
        <v>39</v>
      </c>
      <c r="N624" t="b">
        <v>1</v>
      </c>
      <c r="O624">
        <v>244</v>
      </c>
    </row>
    <row r="625" spans="1:15" x14ac:dyDescent="0.35">
      <c r="A625" s="1">
        <v>45965</v>
      </c>
      <c r="B625" t="s">
        <v>190</v>
      </c>
      <c r="C625" t="s">
        <v>137</v>
      </c>
      <c r="D625" t="s">
        <v>36</v>
      </c>
      <c r="E625">
        <v>18.73</v>
      </c>
      <c r="F625" t="s">
        <v>191</v>
      </c>
      <c r="G625">
        <v>18.73</v>
      </c>
      <c r="H625">
        <v>2025</v>
      </c>
      <c r="I625">
        <v>11</v>
      </c>
      <c r="J625" t="s">
        <v>68</v>
      </c>
      <c r="K625" s="1">
        <v>45965</v>
      </c>
      <c r="L625" t="s">
        <v>50</v>
      </c>
      <c r="M625" t="s">
        <v>39</v>
      </c>
      <c r="N625" t="b">
        <v>1</v>
      </c>
      <c r="O625">
        <v>251</v>
      </c>
    </row>
    <row r="626" spans="1:15" x14ac:dyDescent="0.35">
      <c r="A626" s="1">
        <v>45994</v>
      </c>
      <c r="B626" t="s">
        <v>192</v>
      </c>
      <c r="C626" t="s">
        <v>137</v>
      </c>
      <c r="D626" t="s">
        <v>36</v>
      </c>
      <c r="E626">
        <v>9.7100000000000009</v>
      </c>
      <c r="F626" t="s">
        <v>138</v>
      </c>
      <c r="G626">
        <v>9.7100000000000009</v>
      </c>
      <c r="H626">
        <v>2025</v>
      </c>
      <c r="I626">
        <v>12</v>
      </c>
      <c r="J626" t="s">
        <v>66</v>
      </c>
      <c r="K626" s="1">
        <v>45994</v>
      </c>
      <c r="L626" t="s">
        <v>58</v>
      </c>
      <c r="M626" t="s">
        <v>39</v>
      </c>
      <c r="N626" t="b">
        <v>1</v>
      </c>
      <c r="O626">
        <v>252</v>
      </c>
    </row>
    <row r="627" spans="1:15" x14ac:dyDescent="0.35">
      <c r="A627" s="1">
        <v>45987</v>
      </c>
      <c r="B627" t="s">
        <v>192</v>
      </c>
      <c r="C627" t="s">
        <v>137</v>
      </c>
      <c r="D627" t="s">
        <v>36</v>
      </c>
      <c r="E627">
        <v>6.44</v>
      </c>
      <c r="F627" t="s">
        <v>138</v>
      </c>
      <c r="G627">
        <v>6.44</v>
      </c>
      <c r="H627">
        <v>2025</v>
      </c>
      <c r="I627">
        <v>11</v>
      </c>
      <c r="J627" t="s">
        <v>68</v>
      </c>
      <c r="K627" s="1">
        <v>45987</v>
      </c>
      <c r="L627" t="s">
        <v>58</v>
      </c>
      <c r="M627" t="s">
        <v>39</v>
      </c>
      <c r="N627" t="b">
        <v>1</v>
      </c>
      <c r="O627">
        <v>253</v>
      </c>
    </row>
    <row r="628" spans="1:15" x14ac:dyDescent="0.35">
      <c r="A628" s="1">
        <v>45887</v>
      </c>
      <c r="B628" t="s">
        <v>192</v>
      </c>
      <c r="C628" t="s">
        <v>137</v>
      </c>
      <c r="D628" t="s">
        <v>36</v>
      </c>
      <c r="E628">
        <v>9.49</v>
      </c>
      <c r="F628" t="s">
        <v>138</v>
      </c>
      <c r="G628">
        <v>9.49</v>
      </c>
      <c r="H628">
        <v>2025</v>
      </c>
      <c r="I628">
        <v>8</v>
      </c>
      <c r="J628" t="s">
        <v>71</v>
      </c>
      <c r="K628" s="1">
        <v>45887</v>
      </c>
      <c r="L628" t="s">
        <v>38</v>
      </c>
      <c r="M628" t="s">
        <v>39</v>
      </c>
      <c r="N628" t="b">
        <v>1</v>
      </c>
      <c r="O628">
        <v>256</v>
      </c>
    </row>
    <row r="629" spans="1:15" x14ac:dyDescent="0.35">
      <c r="A629" s="1">
        <v>45876</v>
      </c>
      <c r="B629" t="s">
        <v>192</v>
      </c>
      <c r="C629" t="s">
        <v>137</v>
      </c>
      <c r="D629" t="s">
        <v>36</v>
      </c>
      <c r="E629">
        <v>3.88</v>
      </c>
      <c r="F629" t="s">
        <v>138</v>
      </c>
      <c r="G629">
        <v>3.88</v>
      </c>
      <c r="H629">
        <v>2025</v>
      </c>
      <c r="I629">
        <v>8</v>
      </c>
      <c r="J629" t="s">
        <v>71</v>
      </c>
      <c r="K629" s="1">
        <v>45876</v>
      </c>
      <c r="L629" t="s">
        <v>23</v>
      </c>
      <c r="M629" t="s">
        <v>39</v>
      </c>
      <c r="N629" t="b">
        <v>1</v>
      </c>
      <c r="O629">
        <v>257</v>
      </c>
    </row>
    <row r="630" spans="1:15" x14ac:dyDescent="0.35">
      <c r="A630" s="1">
        <v>45805</v>
      </c>
      <c r="B630" t="s">
        <v>514</v>
      </c>
      <c r="C630" t="s">
        <v>137</v>
      </c>
      <c r="D630" t="s">
        <v>36</v>
      </c>
      <c r="E630">
        <v>22.62</v>
      </c>
      <c r="F630" t="s">
        <v>237</v>
      </c>
      <c r="G630">
        <v>22.62</v>
      </c>
      <c r="H630">
        <v>2025</v>
      </c>
      <c r="I630">
        <v>5</v>
      </c>
      <c r="J630" t="s">
        <v>75</v>
      </c>
      <c r="K630" s="1">
        <v>45805</v>
      </c>
      <c r="L630" t="s">
        <v>58</v>
      </c>
      <c r="M630" t="s">
        <v>39</v>
      </c>
      <c r="N630" t="b">
        <v>1</v>
      </c>
      <c r="O630">
        <v>259</v>
      </c>
    </row>
    <row r="631" spans="1:15" x14ac:dyDescent="0.35">
      <c r="A631" s="1">
        <v>45806</v>
      </c>
      <c r="B631" t="s">
        <v>292</v>
      </c>
      <c r="C631" t="s">
        <v>137</v>
      </c>
      <c r="D631" t="s">
        <v>36</v>
      </c>
      <c r="E631">
        <v>14.39</v>
      </c>
      <c r="F631" t="s">
        <v>293</v>
      </c>
      <c r="G631">
        <v>14.39</v>
      </c>
      <c r="H631">
        <v>2025</v>
      </c>
      <c r="I631">
        <v>5</v>
      </c>
      <c r="J631" t="s">
        <v>75</v>
      </c>
      <c r="K631" s="1">
        <v>45806</v>
      </c>
      <c r="L631" t="s">
        <v>23</v>
      </c>
      <c r="M631" t="s">
        <v>39</v>
      </c>
      <c r="N631" t="b">
        <v>1</v>
      </c>
      <c r="O631">
        <v>260</v>
      </c>
    </row>
    <row r="632" spans="1:15" x14ac:dyDescent="0.35">
      <c r="A632" s="1">
        <v>45845</v>
      </c>
      <c r="B632" t="s">
        <v>190</v>
      </c>
      <c r="C632" t="s">
        <v>137</v>
      </c>
      <c r="D632" t="s">
        <v>36</v>
      </c>
      <c r="E632">
        <v>22.03</v>
      </c>
      <c r="F632" t="s">
        <v>191</v>
      </c>
      <c r="G632">
        <v>22.03</v>
      </c>
      <c r="H632">
        <v>2025</v>
      </c>
      <c r="I632">
        <v>7</v>
      </c>
      <c r="J632" t="s">
        <v>73</v>
      </c>
      <c r="K632" s="1">
        <v>45845</v>
      </c>
      <c r="L632" t="s">
        <v>38</v>
      </c>
      <c r="M632" t="s">
        <v>39</v>
      </c>
      <c r="N632" t="b">
        <v>1</v>
      </c>
      <c r="O632">
        <v>261</v>
      </c>
    </row>
    <row r="633" spans="1:15" x14ac:dyDescent="0.35">
      <c r="A633" s="1">
        <v>45848</v>
      </c>
      <c r="B633" t="s">
        <v>192</v>
      </c>
      <c r="C633" t="s">
        <v>137</v>
      </c>
      <c r="D633" t="s">
        <v>36</v>
      </c>
      <c r="E633">
        <v>18.37</v>
      </c>
      <c r="F633" t="s">
        <v>138</v>
      </c>
      <c r="G633">
        <v>18.37</v>
      </c>
      <c r="H633">
        <v>2025</v>
      </c>
      <c r="I633">
        <v>7</v>
      </c>
      <c r="J633" t="s">
        <v>73</v>
      </c>
      <c r="K633" s="1">
        <v>45848</v>
      </c>
      <c r="L633" t="s">
        <v>23</v>
      </c>
      <c r="M633" t="s">
        <v>39</v>
      </c>
      <c r="N633" t="b">
        <v>1</v>
      </c>
      <c r="O633">
        <v>262</v>
      </c>
    </row>
    <row r="634" spans="1:15" x14ac:dyDescent="0.35">
      <c r="A634" s="1">
        <v>45818</v>
      </c>
      <c r="B634" t="s">
        <v>192</v>
      </c>
      <c r="C634" t="s">
        <v>137</v>
      </c>
      <c r="D634" t="s">
        <v>36</v>
      </c>
      <c r="E634">
        <v>6.88</v>
      </c>
      <c r="F634" t="s">
        <v>138</v>
      </c>
      <c r="G634">
        <v>6.88</v>
      </c>
      <c r="H634">
        <v>2025</v>
      </c>
      <c r="I634">
        <v>6</v>
      </c>
      <c r="J634" t="s">
        <v>33</v>
      </c>
      <c r="K634" s="1">
        <v>45818</v>
      </c>
      <c r="L634" t="s">
        <v>50</v>
      </c>
      <c r="M634" t="s">
        <v>39</v>
      </c>
      <c r="N634" t="b">
        <v>1</v>
      </c>
      <c r="O634">
        <v>263</v>
      </c>
    </row>
    <row r="635" spans="1:15" x14ac:dyDescent="0.35">
      <c r="A635" s="1">
        <v>45986</v>
      </c>
      <c r="B635" t="s">
        <v>515</v>
      </c>
      <c r="C635" t="s">
        <v>218</v>
      </c>
      <c r="D635" t="s">
        <v>36</v>
      </c>
      <c r="E635">
        <v>14.95</v>
      </c>
      <c r="F635" t="s">
        <v>331</v>
      </c>
      <c r="G635">
        <v>14.95</v>
      </c>
      <c r="H635">
        <v>2025</v>
      </c>
      <c r="I635">
        <v>11</v>
      </c>
      <c r="J635" t="s">
        <v>68</v>
      </c>
      <c r="K635" s="1">
        <v>45986</v>
      </c>
      <c r="L635" t="s">
        <v>50</v>
      </c>
      <c r="M635" t="s">
        <v>39</v>
      </c>
      <c r="N635" t="b">
        <v>1</v>
      </c>
      <c r="O635">
        <v>266</v>
      </c>
    </row>
    <row r="636" spans="1:15" x14ac:dyDescent="0.35">
      <c r="A636" s="1">
        <v>45955</v>
      </c>
      <c r="B636" t="s">
        <v>516</v>
      </c>
      <c r="C636" t="s">
        <v>218</v>
      </c>
      <c r="D636" t="s">
        <v>36</v>
      </c>
      <c r="E636">
        <v>14.95</v>
      </c>
      <c r="F636" t="s">
        <v>331</v>
      </c>
      <c r="G636">
        <v>14.95</v>
      </c>
      <c r="H636">
        <v>2025</v>
      </c>
      <c r="I636">
        <v>10</v>
      </c>
      <c r="J636" t="s">
        <v>57</v>
      </c>
      <c r="K636" s="1">
        <v>45955</v>
      </c>
      <c r="L636" t="s">
        <v>20</v>
      </c>
      <c r="M636" t="s">
        <v>39</v>
      </c>
      <c r="N636" t="b">
        <v>1</v>
      </c>
      <c r="O636">
        <v>267</v>
      </c>
    </row>
    <row r="637" spans="1:15" x14ac:dyDescent="0.35">
      <c r="A637" s="1">
        <v>45925</v>
      </c>
      <c r="B637" t="s">
        <v>517</v>
      </c>
      <c r="C637" t="s">
        <v>218</v>
      </c>
      <c r="D637" t="s">
        <v>36</v>
      </c>
      <c r="E637">
        <v>14.95</v>
      </c>
      <c r="F637" t="s">
        <v>331</v>
      </c>
      <c r="G637">
        <v>14.95</v>
      </c>
      <c r="H637">
        <v>2025</v>
      </c>
      <c r="I637">
        <v>9</v>
      </c>
      <c r="J637" t="s">
        <v>30</v>
      </c>
      <c r="K637" s="1">
        <v>45925</v>
      </c>
      <c r="L637" t="s">
        <v>23</v>
      </c>
      <c r="M637" t="s">
        <v>39</v>
      </c>
      <c r="N637" t="b">
        <v>1</v>
      </c>
      <c r="O637">
        <v>268</v>
      </c>
    </row>
    <row r="638" spans="1:15" x14ac:dyDescent="0.35">
      <c r="A638" s="1">
        <v>45985</v>
      </c>
      <c r="B638" t="s">
        <v>192</v>
      </c>
      <c r="C638" t="s">
        <v>137</v>
      </c>
      <c r="D638" t="s">
        <v>36</v>
      </c>
      <c r="E638">
        <v>4.51</v>
      </c>
      <c r="F638" t="s">
        <v>138</v>
      </c>
      <c r="G638">
        <v>4.51</v>
      </c>
      <c r="H638">
        <v>2025</v>
      </c>
      <c r="I638">
        <v>11</v>
      </c>
      <c r="J638" t="s">
        <v>68</v>
      </c>
      <c r="K638" s="1">
        <v>45985</v>
      </c>
      <c r="L638" t="s">
        <v>38</v>
      </c>
      <c r="M638" t="s">
        <v>39</v>
      </c>
      <c r="N638" t="b">
        <v>1</v>
      </c>
      <c r="O638">
        <v>270</v>
      </c>
    </row>
    <row r="639" spans="1:15" x14ac:dyDescent="0.35">
      <c r="A639" s="1">
        <v>45981</v>
      </c>
      <c r="B639" t="s">
        <v>192</v>
      </c>
      <c r="C639" t="s">
        <v>137</v>
      </c>
      <c r="D639" t="s">
        <v>36</v>
      </c>
      <c r="E639">
        <v>7.98</v>
      </c>
      <c r="F639" t="s">
        <v>138</v>
      </c>
      <c r="G639">
        <v>7.98</v>
      </c>
      <c r="H639">
        <v>2025</v>
      </c>
      <c r="I639">
        <v>11</v>
      </c>
      <c r="J639" t="s">
        <v>68</v>
      </c>
      <c r="K639" s="1">
        <v>45981</v>
      </c>
      <c r="L639" t="s">
        <v>23</v>
      </c>
      <c r="M639" t="s">
        <v>39</v>
      </c>
      <c r="N639" t="b">
        <v>1</v>
      </c>
      <c r="O639">
        <v>271</v>
      </c>
    </row>
    <row r="640" spans="1:15" x14ac:dyDescent="0.35">
      <c r="A640" s="1">
        <v>45968</v>
      </c>
      <c r="B640" t="s">
        <v>192</v>
      </c>
      <c r="C640" t="s">
        <v>137</v>
      </c>
      <c r="D640" t="s">
        <v>36</v>
      </c>
      <c r="E640">
        <v>7.49</v>
      </c>
      <c r="F640" t="s">
        <v>138</v>
      </c>
      <c r="G640">
        <v>7.49</v>
      </c>
      <c r="H640">
        <v>2025</v>
      </c>
      <c r="I640">
        <v>11</v>
      </c>
      <c r="J640" t="s">
        <v>68</v>
      </c>
      <c r="K640" s="1">
        <v>45968</v>
      </c>
      <c r="L640" t="s">
        <v>31</v>
      </c>
      <c r="M640" t="s">
        <v>39</v>
      </c>
      <c r="N640" t="b">
        <v>1</v>
      </c>
      <c r="O640">
        <v>272</v>
      </c>
    </row>
    <row r="641" spans="1:15" x14ac:dyDescent="0.35">
      <c r="A641" s="1">
        <v>45965</v>
      </c>
      <c r="B641" t="s">
        <v>192</v>
      </c>
      <c r="C641" t="s">
        <v>137</v>
      </c>
      <c r="D641" t="s">
        <v>36</v>
      </c>
      <c r="E641">
        <v>10.88</v>
      </c>
      <c r="F641" t="s">
        <v>138</v>
      </c>
      <c r="G641">
        <v>10.88</v>
      </c>
      <c r="H641">
        <v>2025</v>
      </c>
      <c r="I641">
        <v>11</v>
      </c>
      <c r="J641" t="s">
        <v>68</v>
      </c>
      <c r="K641" s="1">
        <v>45965</v>
      </c>
      <c r="L641" t="s">
        <v>50</v>
      </c>
      <c r="M641" t="s">
        <v>39</v>
      </c>
      <c r="N641" t="b">
        <v>1</v>
      </c>
      <c r="O641">
        <v>273</v>
      </c>
    </row>
    <row r="642" spans="1:15" x14ac:dyDescent="0.35">
      <c r="A642" s="1">
        <v>45961</v>
      </c>
      <c r="B642" t="s">
        <v>192</v>
      </c>
      <c r="C642" t="s">
        <v>137</v>
      </c>
      <c r="D642" t="s">
        <v>36</v>
      </c>
      <c r="E642">
        <v>21.56</v>
      </c>
      <c r="F642" t="s">
        <v>138</v>
      </c>
      <c r="G642">
        <v>21.56</v>
      </c>
      <c r="H642">
        <v>2025</v>
      </c>
      <c r="I642">
        <v>10</v>
      </c>
      <c r="J642" t="s">
        <v>57</v>
      </c>
      <c r="K642" s="1">
        <v>45961</v>
      </c>
      <c r="L642" t="s">
        <v>31</v>
      </c>
      <c r="M642" t="s">
        <v>39</v>
      </c>
      <c r="N642" t="b">
        <v>1</v>
      </c>
      <c r="O642">
        <v>274</v>
      </c>
    </row>
    <row r="643" spans="1:15" x14ac:dyDescent="0.35">
      <c r="A643" s="1">
        <v>45958</v>
      </c>
      <c r="B643" t="s">
        <v>192</v>
      </c>
      <c r="C643" t="s">
        <v>137</v>
      </c>
      <c r="D643" t="s">
        <v>36</v>
      </c>
      <c r="E643">
        <v>9.0399999999999991</v>
      </c>
      <c r="F643" t="s">
        <v>138</v>
      </c>
      <c r="G643">
        <v>9.0399999999999991</v>
      </c>
      <c r="H643">
        <v>2025</v>
      </c>
      <c r="I643">
        <v>10</v>
      </c>
      <c r="J643" t="s">
        <v>57</v>
      </c>
      <c r="K643" s="1">
        <v>45958</v>
      </c>
      <c r="L643" t="s">
        <v>50</v>
      </c>
      <c r="M643" t="s">
        <v>39</v>
      </c>
      <c r="N643" t="b">
        <v>1</v>
      </c>
      <c r="O643">
        <v>275</v>
      </c>
    </row>
    <row r="644" spans="1:15" x14ac:dyDescent="0.35">
      <c r="A644" s="1">
        <v>45869</v>
      </c>
      <c r="B644" t="s">
        <v>192</v>
      </c>
      <c r="C644" t="s">
        <v>137</v>
      </c>
      <c r="D644" t="s">
        <v>36</v>
      </c>
      <c r="E644">
        <v>7.55</v>
      </c>
      <c r="F644" t="s">
        <v>138</v>
      </c>
      <c r="G644">
        <v>7.55</v>
      </c>
      <c r="H644">
        <v>2025</v>
      </c>
      <c r="I644">
        <v>7</v>
      </c>
      <c r="J644" t="s">
        <v>73</v>
      </c>
      <c r="K644" s="1">
        <v>45869</v>
      </c>
      <c r="L644" t="s">
        <v>23</v>
      </c>
      <c r="M644" t="s">
        <v>39</v>
      </c>
      <c r="N644" t="b">
        <v>1</v>
      </c>
      <c r="O644">
        <v>276</v>
      </c>
    </row>
    <row r="645" spans="1:15" x14ac:dyDescent="0.35">
      <c r="A645" s="1">
        <v>45855</v>
      </c>
      <c r="B645" t="s">
        <v>192</v>
      </c>
      <c r="C645" t="s">
        <v>137</v>
      </c>
      <c r="D645" t="s">
        <v>36</v>
      </c>
      <c r="E645">
        <v>9.49</v>
      </c>
      <c r="F645" t="s">
        <v>138</v>
      </c>
      <c r="G645">
        <v>9.49</v>
      </c>
      <c r="H645">
        <v>2025</v>
      </c>
      <c r="I645">
        <v>7</v>
      </c>
      <c r="J645" t="s">
        <v>73</v>
      </c>
      <c r="K645" s="1">
        <v>45855</v>
      </c>
      <c r="L645" t="s">
        <v>23</v>
      </c>
      <c r="M645" t="s">
        <v>39</v>
      </c>
      <c r="N645" t="b">
        <v>1</v>
      </c>
      <c r="O645">
        <v>277</v>
      </c>
    </row>
    <row r="646" spans="1:15" x14ac:dyDescent="0.35">
      <c r="A646" s="1">
        <v>45785</v>
      </c>
      <c r="B646" t="s">
        <v>192</v>
      </c>
      <c r="C646" t="s">
        <v>137</v>
      </c>
      <c r="D646" t="s">
        <v>36</v>
      </c>
      <c r="E646">
        <v>7.11</v>
      </c>
      <c r="F646" t="s">
        <v>138</v>
      </c>
      <c r="G646">
        <v>7.11</v>
      </c>
      <c r="H646">
        <v>2025</v>
      </c>
      <c r="I646">
        <v>5</v>
      </c>
      <c r="J646" t="s">
        <v>75</v>
      </c>
      <c r="K646" s="1">
        <v>45785</v>
      </c>
      <c r="L646" t="s">
        <v>23</v>
      </c>
      <c r="M646" t="s">
        <v>39</v>
      </c>
      <c r="N646" t="b">
        <v>1</v>
      </c>
      <c r="O646">
        <v>278</v>
      </c>
    </row>
    <row r="647" spans="1:15" x14ac:dyDescent="0.35">
      <c r="A647" s="1">
        <v>45782</v>
      </c>
      <c r="B647" t="s">
        <v>192</v>
      </c>
      <c r="C647" t="s">
        <v>137</v>
      </c>
      <c r="D647" t="s">
        <v>36</v>
      </c>
      <c r="E647">
        <v>3.44</v>
      </c>
      <c r="F647" t="s">
        <v>138</v>
      </c>
      <c r="G647">
        <v>3.44</v>
      </c>
      <c r="H647">
        <v>2025</v>
      </c>
      <c r="I647">
        <v>5</v>
      </c>
      <c r="J647" t="s">
        <v>75</v>
      </c>
      <c r="K647" s="1">
        <v>45782</v>
      </c>
      <c r="L647" t="s">
        <v>38</v>
      </c>
      <c r="M647" t="s">
        <v>39</v>
      </c>
      <c r="N647" t="b">
        <v>1</v>
      </c>
      <c r="O647">
        <v>279</v>
      </c>
    </row>
    <row r="648" spans="1:15" x14ac:dyDescent="0.35">
      <c r="A648" s="1">
        <v>46099</v>
      </c>
      <c r="B648" t="s">
        <v>233</v>
      </c>
      <c r="C648" t="s">
        <v>137</v>
      </c>
      <c r="D648" t="s">
        <v>36</v>
      </c>
      <c r="E648">
        <v>3.99</v>
      </c>
      <c r="F648" t="s">
        <v>138</v>
      </c>
      <c r="G648">
        <v>3.99</v>
      </c>
      <c r="H648">
        <v>2026</v>
      </c>
      <c r="I648">
        <v>3</v>
      </c>
      <c r="J648" t="s">
        <v>48</v>
      </c>
      <c r="K648" s="1">
        <v>46099</v>
      </c>
      <c r="L648" t="s">
        <v>58</v>
      </c>
      <c r="M648" t="s">
        <v>39</v>
      </c>
      <c r="N648" t="b">
        <v>1</v>
      </c>
      <c r="O648">
        <v>284</v>
      </c>
    </row>
    <row r="649" spans="1:15" x14ac:dyDescent="0.35">
      <c r="A649" s="1">
        <v>45899</v>
      </c>
      <c r="B649" t="s">
        <v>518</v>
      </c>
      <c r="C649" t="s">
        <v>137</v>
      </c>
      <c r="D649" t="s">
        <v>36</v>
      </c>
      <c r="E649">
        <v>16.829999999999998</v>
      </c>
      <c r="F649" t="s">
        <v>181</v>
      </c>
      <c r="G649">
        <v>16.829999999999998</v>
      </c>
      <c r="H649">
        <v>2025</v>
      </c>
      <c r="I649">
        <v>8</v>
      </c>
      <c r="J649" t="s">
        <v>71</v>
      </c>
      <c r="K649" s="1">
        <v>45899</v>
      </c>
      <c r="L649" t="s">
        <v>20</v>
      </c>
      <c r="M649" t="s">
        <v>39</v>
      </c>
      <c r="N649" t="b">
        <v>1</v>
      </c>
      <c r="O649">
        <v>288</v>
      </c>
    </row>
    <row r="650" spans="1:15" x14ac:dyDescent="0.35">
      <c r="A650" s="1">
        <v>45885</v>
      </c>
      <c r="B650" t="s">
        <v>519</v>
      </c>
      <c r="C650" t="s">
        <v>137</v>
      </c>
      <c r="D650" t="s">
        <v>36</v>
      </c>
      <c r="E650">
        <v>11.49</v>
      </c>
      <c r="F650" t="s">
        <v>181</v>
      </c>
      <c r="G650">
        <v>11.49</v>
      </c>
      <c r="H650">
        <v>2025</v>
      </c>
      <c r="I650">
        <v>8</v>
      </c>
      <c r="J650" t="s">
        <v>71</v>
      </c>
      <c r="K650" s="1">
        <v>45885</v>
      </c>
      <c r="L650" t="s">
        <v>20</v>
      </c>
      <c r="M650" t="s">
        <v>39</v>
      </c>
      <c r="N650" t="b">
        <v>1</v>
      </c>
      <c r="O650">
        <v>289</v>
      </c>
    </row>
    <row r="651" spans="1:15" x14ac:dyDescent="0.35">
      <c r="A651" s="1">
        <v>45896</v>
      </c>
      <c r="B651" t="s">
        <v>507</v>
      </c>
      <c r="C651" t="s">
        <v>137</v>
      </c>
      <c r="D651" t="s">
        <v>36</v>
      </c>
      <c r="E651">
        <v>14.19</v>
      </c>
      <c r="F651" t="s">
        <v>427</v>
      </c>
      <c r="G651">
        <v>14.19</v>
      </c>
      <c r="H651">
        <v>2025</v>
      </c>
      <c r="I651">
        <v>8</v>
      </c>
      <c r="J651" t="s">
        <v>71</v>
      </c>
      <c r="K651" s="1">
        <v>45896</v>
      </c>
      <c r="L651" t="s">
        <v>58</v>
      </c>
      <c r="M651" t="s">
        <v>39</v>
      </c>
      <c r="N651" t="b">
        <v>1</v>
      </c>
      <c r="O651">
        <v>291</v>
      </c>
    </row>
    <row r="652" spans="1:15" x14ac:dyDescent="0.35">
      <c r="A652" s="1">
        <v>45814</v>
      </c>
      <c r="B652" t="s">
        <v>192</v>
      </c>
      <c r="C652" t="s">
        <v>137</v>
      </c>
      <c r="D652" t="s">
        <v>36</v>
      </c>
      <c r="E652">
        <v>7.55</v>
      </c>
      <c r="F652" t="s">
        <v>138</v>
      </c>
      <c r="G652">
        <v>7.55</v>
      </c>
      <c r="H652">
        <v>2025</v>
      </c>
      <c r="I652">
        <v>6</v>
      </c>
      <c r="J652" t="s">
        <v>33</v>
      </c>
      <c r="K652" s="1">
        <v>45814</v>
      </c>
      <c r="L652" t="s">
        <v>31</v>
      </c>
      <c r="M652" t="s">
        <v>39</v>
      </c>
      <c r="N652" t="b">
        <v>1</v>
      </c>
      <c r="O652">
        <v>292</v>
      </c>
    </row>
    <row r="653" spans="1:15" x14ac:dyDescent="0.35">
      <c r="A653" s="1">
        <v>45804</v>
      </c>
      <c r="B653" t="s">
        <v>192</v>
      </c>
      <c r="C653" t="s">
        <v>137</v>
      </c>
      <c r="D653" t="s">
        <v>36</v>
      </c>
      <c r="E653">
        <v>7.11</v>
      </c>
      <c r="F653" t="s">
        <v>138</v>
      </c>
      <c r="G653">
        <v>7.11</v>
      </c>
      <c r="H653">
        <v>2025</v>
      </c>
      <c r="I653">
        <v>5</v>
      </c>
      <c r="J653" t="s">
        <v>75</v>
      </c>
      <c r="K653" s="1">
        <v>45804</v>
      </c>
      <c r="L653" t="s">
        <v>50</v>
      </c>
      <c r="M653" t="s">
        <v>39</v>
      </c>
      <c r="N653" t="b">
        <v>1</v>
      </c>
      <c r="O653">
        <v>293</v>
      </c>
    </row>
    <row r="654" spans="1:15" x14ac:dyDescent="0.35">
      <c r="A654" s="1">
        <v>45946</v>
      </c>
      <c r="B654" t="s">
        <v>220</v>
      </c>
      <c r="C654" t="s">
        <v>137</v>
      </c>
      <c r="D654" t="s">
        <v>36</v>
      </c>
      <c r="E654">
        <v>4.33</v>
      </c>
      <c r="F654" t="s">
        <v>221</v>
      </c>
      <c r="G654">
        <v>4.33</v>
      </c>
      <c r="H654">
        <v>2025</v>
      </c>
      <c r="I654">
        <v>10</v>
      </c>
      <c r="J654" t="s">
        <v>57</v>
      </c>
      <c r="K654" s="1">
        <v>45946</v>
      </c>
      <c r="L654" t="s">
        <v>23</v>
      </c>
      <c r="M654" t="s">
        <v>39</v>
      </c>
      <c r="N654" t="b">
        <v>1</v>
      </c>
      <c r="O654">
        <v>236</v>
      </c>
    </row>
    <row r="655" spans="1:15" x14ac:dyDescent="0.35">
      <c r="A655" s="1">
        <v>45851</v>
      </c>
      <c r="B655" t="s">
        <v>520</v>
      </c>
      <c r="C655" t="s">
        <v>137</v>
      </c>
      <c r="D655" t="s">
        <v>36</v>
      </c>
      <c r="E655">
        <v>7</v>
      </c>
      <c r="F655" t="s">
        <v>521</v>
      </c>
      <c r="G655">
        <v>7</v>
      </c>
      <c r="H655">
        <v>2025</v>
      </c>
      <c r="I655">
        <v>7</v>
      </c>
      <c r="J655" t="s">
        <v>73</v>
      </c>
      <c r="K655" s="1">
        <v>45851</v>
      </c>
      <c r="L655" t="s">
        <v>41</v>
      </c>
      <c r="M655" t="s">
        <v>39</v>
      </c>
      <c r="N655" t="b">
        <v>1</v>
      </c>
      <c r="O655">
        <v>254</v>
      </c>
    </row>
    <row r="656" spans="1:15" x14ac:dyDescent="0.35">
      <c r="A656" s="1">
        <v>45897</v>
      </c>
      <c r="B656" t="s">
        <v>522</v>
      </c>
      <c r="C656" t="s">
        <v>137</v>
      </c>
      <c r="D656" t="s">
        <v>36</v>
      </c>
      <c r="E656">
        <v>6.99</v>
      </c>
      <c r="F656" t="s">
        <v>221</v>
      </c>
      <c r="G656">
        <v>6.99</v>
      </c>
      <c r="H656">
        <v>2025</v>
      </c>
      <c r="I656">
        <v>8</v>
      </c>
      <c r="J656" t="s">
        <v>71</v>
      </c>
      <c r="K656" s="1">
        <v>45897</v>
      </c>
      <c r="L656" t="s">
        <v>23</v>
      </c>
      <c r="M656" t="s">
        <v>39</v>
      </c>
      <c r="N656" t="b">
        <v>1</v>
      </c>
      <c r="O656">
        <v>290</v>
      </c>
    </row>
    <row r="657" spans="1:15" x14ac:dyDescent="0.35">
      <c r="A657" s="1">
        <v>45945</v>
      </c>
      <c r="B657" t="s">
        <v>122</v>
      </c>
      <c r="C657" t="s">
        <v>123</v>
      </c>
      <c r="D657" t="s">
        <v>36</v>
      </c>
      <c r="E657">
        <v>289.60000000000002</v>
      </c>
      <c r="F657" t="s">
        <v>124</v>
      </c>
      <c r="G657">
        <v>289.60000000000002</v>
      </c>
      <c r="H657">
        <v>2025</v>
      </c>
      <c r="I657">
        <v>10</v>
      </c>
      <c r="J657" t="s">
        <v>57</v>
      </c>
      <c r="K657" s="1">
        <v>45945</v>
      </c>
      <c r="L657" t="s">
        <v>58</v>
      </c>
      <c r="M657" t="s">
        <v>39</v>
      </c>
      <c r="N657" t="b">
        <v>0</v>
      </c>
      <c r="O657">
        <v>446</v>
      </c>
    </row>
    <row r="658" spans="1:15" x14ac:dyDescent="0.35">
      <c r="A658" s="1">
        <v>45945</v>
      </c>
      <c r="B658" t="s">
        <v>122</v>
      </c>
      <c r="C658" t="s">
        <v>123</v>
      </c>
      <c r="D658" t="s">
        <v>36</v>
      </c>
      <c r="E658">
        <v>362</v>
      </c>
      <c r="F658" t="s">
        <v>124</v>
      </c>
      <c r="G658">
        <v>362</v>
      </c>
      <c r="H658">
        <v>2025</v>
      </c>
      <c r="I658">
        <v>10</v>
      </c>
      <c r="J658" t="s">
        <v>57</v>
      </c>
      <c r="K658" s="1">
        <v>45945</v>
      </c>
      <c r="L658" t="s">
        <v>58</v>
      </c>
      <c r="M658" t="s">
        <v>39</v>
      </c>
      <c r="N658" t="b">
        <v>0</v>
      </c>
      <c r="O658">
        <v>447</v>
      </c>
    </row>
    <row r="659" spans="1:15" x14ac:dyDescent="0.35">
      <c r="A659" s="1">
        <v>46037</v>
      </c>
      <c r="B659" t="s">
        <v>122</v>
      </c>
      <c r="C659" t="s">
        <v>123</v>
      </c>
      <c r="D659" t="s">
        <v>36</v>
      </c>
      <c r="E659">
        <v>362</v>
      </c>
      <c r="F659" t="s">
        <v>124</v>
      </c>
      <c r="G659">
        <v>362</v>
      </c>
      <c r="H659">
        <v>2026</v>
      </c>
      <c r="I659">
        <v>1</v>
      </c>
      <c r="J659" t="s">
        <v>24</v>
      </c>
      <c r="K659" s="1">
        <v>46037</v>
      </c>
      <c r="L659" t="s">
        <v>23</v>
      </c>
      <c r="M659" t="s">
        <v>39</v>
      </c>
      <c r="N659" t="b">
        <v>0</v>
      </c>
      <c r="O659">
        <v>475</v>
      </c>
    </row>
    <row r="660" spans="1:15" x14ac:dyDescent="0.35">
      <c r="A660" s="1">
        <v>46006</v>
      </c>
      <c r="B660" t="s">
        <v>122</v>
      </c>
      <c r="C660" t="s">
        <v>123</v>
      </c>
      <c r="D660" t="s">
        <v>36</v>
      </c>
      <c r="E660">
        <v>289.60000000000002</v>
      </c>
      <c r="F660" t="s">
        <v>124</v>
      </c>
      <c r="G660">
        <v>289.60000000000002</v>
      </c>
      <c r="H660">
        <v>2025</v>
      </c>
      <c r="I660">
        <v>12</v>
      </c>
      <c r="J660" t="s">
        <v>66</v>
      </c>
      <c r="K660" s="1">
        <v>46006</v>
      </c>
      <c r="L660" t="s">
        <v>38</v>
      </c>
      <c r="M660" t="s">
        <v>39</v>
      </c>
      <c r="N660" t="b">
        <v>0</v>
      </c>
      <c r="O660">
        <v>476</v>
      </c>
    </row>
    <row r="661" spans="1:15" x14ac:dyDescent="0.35">
      <c r="A661" s="1">
        <v>46088</v>
      </c>
      <c r="B661" t="s">
        <v>122</v>
      </c>
      <c r="C661" t="s">
        <v>123</v>
      </c>
      <c r="D661" t="s">
        <v>36</v>
      </c>
      <c r="E661">
        <v>6048</v>
      </c>
      <c r="F661" t="s">
        <v>124</v>
      </c>
      <c r="G661">
        <v>6048</v>
      </c>
      <c r="H661">
        <v>2026</v>
      </c>
      <c r="I661">
        <v>3</v>
      </c>
      <c r="J661" t="s">
        <v>48</v>
      </c>
      <c r="K661" s="1">
        <v>46088</v>
      </c>
      <c r="L661" t="s">
        <v>20</v>
      </c>
      <c r="M661" t="s">
        <v>39</v>
      </c>
      <c r="N661" t="b">
        <v>0</v>
      </c>
      <c r="O661">
        <v>1003</v>
      </c>
    </row>
    <row r="662" spans="1:15" x14ac:dyDescent="0.35">
      <c r="A662" s="1">
        <v>45896</v>
      </c>
      <c r="B662" t="s">
        <v>452</v>
      </c>
      <c r="C662" t="s">
        <v>137</v>
      </c>
      <c r="D662" t="s">
        <v>36</v>
      </c>
      <c r="E662">
        <v>11.44</v>
      </c>
      <c r="F662" t="s">
        <v>189</v>
      </c>
      <c r="G662">
        <v>11.44</v>
      </c>
      <c r="H662">
        <v>2025</v>
      </c>
      <c r="I662">
        <v>8</v>
      </c>
      <c r="J662" t="s">
        <v>71</v>
      </c>
      <c r="K662" s="1">
        <v>45896</v>
      </c>
      <c r="L662" t="s">
        <v>58</v>
      </c>
      <c r="M662" t="s">
        <v>39</v>
      </c>
      <c r="N662" t="b">
        <v>1</v>
      </c>
      <c r="O662">
        <v>321</v>
      </c>
    </row>
    <row r="663" spans="1:15" x14ac:dyDescent="0.35">
      <c r="A663" s="1">
        <v>45849</v>
      </c>
      <c r="B663" t="s">
        <v>523</v>
      </c>
      <c r="C663" t="s">
        <v>137</v>
      </c>
      <c r="D663" t="s">
        <v>36</v>
      </c>
      <c r="E663">
        <v>8.31</v>
      </c>
      <c r="F663" t="s">
        <v>189</v>
      </c>
      <c r="G663">
        <v>8.31</v>
      </c>
      <c r="H663">
        <v>2025</v>
      </c>
      <c r="I663">
        <v>7</v>
      </c>
      <c r="J663" t="s">
        <v>73</v>
      </c>
      <c r="K663" s="1">
        <v>45849</v>
      </c>
      <c r="L663" t="s">
        <v>31</v>
      </c>
      <c r="M663" t="s">
        <v>39</v>
      </c>
      <c r="N663" t="b">
        <v>1</v>
      </c>
      <c r="O663">
        <v>329</v>
      </c>
    </row>
    <row r="664" spans="1:15" x14ac:dyDescent="0.35">
      <c r="A664" s="1">
        <v>45850</v>
      </c>
      <c r="B664" t="s">
        <v>192</v>
      </c>
      <c r="C664" t="s">
        <v>137</v>
      </c>
      <c r="D664" t="s">
        <v>36</v>
      </c>
      <c r="E664">
        <v>9.16</v>
      </c>
      <c r="F664" t="s">
        <v>138</v>
      </c>
      <c r="G664">
        <v>9.16</v>
      </c>
      <c r="H664">
        <v>2025</v>
      </c>
      <c r="I664">
        <v>7</v>
      </c>
      <c r="J664" t="s">
        <v>73</v>
      </c>
      <c r="K664" s="1">
        <v>45850</v>
      </c>
      <c r="L664" t="s">
        <v>20</v>
      </c>
      <c r="M664" t="s">
        <v>39</v>
      </c>
      <c r="N664" t="b">
        <v>1</v>
      </c>
      <c r="O664">
        <v>342</v>
      </c>
    </row>
    <row r="665" spans="1:15" x14ac:dyDescent="0.35">
      <c r="A665" s="1">
        <v>45850</v>
      </c>
      <c r="B665" t="s">
        <v>180</v>
      </c>
      <c r="C665" t="s">
        <v>137</v>
      </c>
      <c r="D665" t="s">
        <v>36</v>
      </c>
      <c r="E665">
        <v>12.38</v>
      </c>
      <c r="F665" t="s">
        <v>181</v>
      </c>
      <c r="G665">
        <v>12.38</v>
      </c>
      <c r="H665">
        <v>2025</v>
      </c>
      <c r="I665">
        <v>7</v>
      </c>
      <c r="J665" t="s">
        <v>73</v>
      </c>
      <c r="K665" s="1">
        <v>45850</v>
      </c>
      <c r="L665" t="s">
        <v>20</v>
      </c>
      <c r="M665" t="s">
        <v>39</v>
      </c>
      <c r="N665" t="b">
        <v>1</v>
      </c>
      <c r="O665">
        <v>343</v>
      </c>
    </row>
    <row r="666" spans="1:15" x14ac:dyDescent="0.35">
      <c r="A666" s="1">
        <v>45818</v>
      </c>
      <c r="B666" t="s">
        <v>180</v>
      </c>
      <c r="C666" t="s">
        <v>137</v>
      </c>
      <c r="D666" t="s">
        <v>36</v>
      </c>
      <c r="E666">
        <v>21.2</v>
      </c>
      <c r="F666" t="s">
        <v>181</v>
      </c>
      <c r="G666">
        <v>21.2</v>
      </c>
      <c r="H666">
        <v>2025</v>
      </c>
      <c r="I666">
        <v>6</v>
      </c>
      <c r="J666" t="s">
        <v>33</v>
      </c>
      <c r="K666" s="1">
        <v>45818</v>
      </c>
      <c r="L666" t="s">
        <v>50</v>
      </c>
      <c r="M666" t="s">
        <v>39</v>
      </c>
      <c r="N666" t="b">
        <v>1</v>
      </c>
      <c r="O666">
        <v>344</v>
      </c>
    </row>
    <row r="667" spans="1:15" x14ac:dyDescent="0.35">
      <c r="A667" s="1">
        <v>45814</v>
      </c>
      <c r="B667" t="s">
        <v>180</v>
      </c>
      <c r="C667" t="s">
        <v>137</v>
      </c>
      <c r="D667" t="s">
        <v>36</v>
      </c>
      <c r="E667">
        <v>11.95</v>
      </c>
      <c r="F667" t="s">
        <v>181</v>
      </c>
      <c r="G667">
        <v>11.95</v>
      </c>
      <c r="H667">
        <v>2025</v>
      </c>
      <c r="I667">
        <v>6</v>
      </c>
      <c r="J667" t="s">
        <v>33</v>
      </c>
      <c r="K667" s="1">
        <v>45814</v>
      </c>
      <c r="L667" t="s">
        <v>31</v>
      </c>
      <c r="M667" t="s">
        <v>39</v>
      </c>
      <c r="N667" t="b">
        <v>1</v>
      </c>
      <c r="O667">
        <v>345</v>
      </c>
    </row>
    <row r="668" spans="1:15" x14ac:dyDescent="0.35">
      <c r="A668" s="1">
        <v>45849</v>
      </c>
      <c r="B668" t="s">
        <v>426</v>
      </c>
      <c r="C668" t="s">
        <v>137</v>
      </c>
      <c r="D668" t="s">
        <v>36</v>
      </c>
      <c r="E668">
        <v>20.079999999999998</v>
      </c>
      <c r="F668" t="s">
        <v>427</v>
      </c>
      <c r="G668">
        <v>20.079999999999998</v>
      </c>
      <c r="H668">
        <v>2025</v>
      </c>
      <c r="I668">
        <v>7</v>
      </c>
      <c r="J668" t="s">
        <v>73</v>
      </c>
      <c r="K668" s="1">
        <v>45849</v>
      </c>
      <c r="L668" t="s">
        <v>31</v>
      </c>
      <c r="M668" t="s">
        <v>39</v>
      </c>
      <c r="N668" t="b">
        <v>1</v>
      </c>
      <c r="O668">
        <v>347</v>
      </c>
    </row>
    <row r="669" spans="1:15" x14ac:dyDescent="0.35">
      <c r="A669" s="1">
        <v>45898</v>
      </c>
      <c r="B669" t="s">
        <v>524</v>
      </c>
      <c r="C669" t="s">
        <v>137</v>
      </c>
      <c r="D669" t="s">
        <v>36</v>
      </c>
      <c r="E669">
        <v>10.73</v>
      </c>
      <c r="F669" t="s">
        <v>189</v>
      </c>
      <c r="G669">
        <v>10.73</v>
      </c>
      <c r="H669">
        <v>2025</v>
      </c>
      <c r="I669">
        <v>8</v>
      </c>
      <c r="J669" t="s">
        <v>71</v>
      </c>
      <c r="K669" s="1">
        <v>45898</v>
      </c>
      <c r="L669" t="s">
        <v>31</v>
      </c>
      <c r="M669" t="s">
        <v>39</v>
      </c>
      <c r="N669" t="b">
        <v>1</v>
      </c>
      <c r="O669">
        <v>320</v>
      </c>
    </row>
    <row r="670" spans="1:15" x14ac:dyDescent="0.35">
      <c r="A670" s="1">
        <v>45830</v>
      </c>
      <c r="B670" t="s">
        <v>525</v>
      </c>
      <c r="C670" t="s">
        <v>137</v>
      </c>
      <c r="D670" t="s">
        <v>36</v>
      </c>
      <c r="E670">
        <v>65.53</v>
      </c>
      <c r="F670" t="s">
        <v>526</v>
      </c>
      <c r="G670">
        <v>65.53</v>
      </c>
      <c r="H670">
        <v>2025</v>
      </c>
      <c r="I670">
        <v>6</v>
      </c>
      <c r="J670" t="s">
        <v>33</v>
      </c>
      <c r="K670" s="1">
        <v>45830</v>
      </c>
      <c r="L670" t="s">
        <v>41</v>
      </c>
      <c r="M670" t="s">
        <v>39</v>
      </c>
      <c r="N670" t="b">
        <v>1</v>
      </c>
      <c r="O670">
        <v>499</v>
      </c>
    </row>
    <row r="671" spans="1:15" x14ac:dyDescent="0.35">
      <c r="A671" s="1">
        <v>45878</v>
      </c>
      <c r="B671" t="s">
        <v>527</v>
      </c>
      <c r="C671" t="s">
        <v>137</v>
      </c>
      <c r="D671" t="s">
        <v>36</v>
      </c>
      <c r="E671">
        <v>24.08</v>
      </c>
      <c r="F671" t="s">
        <v>526</v>
      </c>
      <c r="G671">
        <v>24.08</v>
      </c>
      <c r="H671">
        <v>2025</v>
      </c>
      <c r="I671">
        <v>8</v>
      </c>
      <c r="J671" t="s">
        <v>71</v>
      </c>
      <c r="K671" s="1">
        <v>45878</v>
      </c>
      <c r="L671" t="s">
        <v>20</v>
      </c>
      <c r="M671" t="s">
        <v>39</v>
      </c>
      <c r="N671" t="b">
        <v>1</v>
      </c>
      <c r="O671">
        <v>393</v>
      </c>
    </row>
    <row r="672" spans="1:15" x14ac:dyDescent="0.35">
      <c r="A672" s="1">
        <v>45849</v>
      </c>
      <c r="B672" t="s">
        <v>211</v>
      </c>
      <c r="C672" t="s">
        <v>137</v>
      </c>
      <c r="D672" t="s">
        <v>36</v>
      </c>
      <c r="E672">
        <v>36</v>
      </c>
      <c r="F672" t="s">
        <v>212</v>
      </c>
      <c r="G672">
        <v>36</v>
      </c>
      <c r="H672">
        <v>2025</v>
      </c>
      <c r="I672">
        <v>7</v>
      </c>
      <c r="J672" t="s">
        <v>73</v>
      </c>
      <c r="K672" s="1">
        <v>45849</v>
      </c>
      <c r="L672" t="s">
        <v>31</v>
      </c>
      <c r="M672" t="s">
        <v>39</v>
      </c>
      <c r="N672" t="b">
        <v>1</v>
      </c>
      <c r="O672">
        <v>348</v>
      </c>
    </row>
    <row r="673" spans="1:15" x14ac:dyDescent="0.35">
      <c r="A673" s="1">
        <v>45993</v>
      </c>
      <c r="B673" t="s">
        <v>528</v>
      </c>
      <c r="C673" t="s">
        <v>137</v>
      </c>
      <c r="D673" t="s">
        <v>36</v>
      </c>
      <c r="E673">
        <v>40.729999999999997</v>
      </c>
      <c r="F673" t="s">
        <v>529</v>
      </c>
      <c r="G673">
        <v>40.729999999999997</v>
      </c>
      <c r="H673">
        <v>2025</v>
      </c>
      <c r="I673">
        <v>12</v>
      </c>
      <c r="J673" t="s">
        <v>66</v>
      </c>
      <c r="K673" s="1">
        <v>45993</v>
      </c>
      <c r="L673" t="s">
        <v>50</v>
      </c>
      <c r="M673" t="s">
        <v>39</v>
      </c>
      <c r="N673" t="b">
        <v>1</v>
      </c>
      <c r="O673">
        <v>1086</v>
      </c>
    </row>
    <row r="674" spans="1:15" x14ac:dyDescent="0.35">
      <c r="A674" s="1">
        <v>45958</v>
      </c>
      <c r="B674" t="s">
        <v>530</v>
      </c>
      <c r="C674" t="s">
        <v>137</v>
      </c>
      <c r="D674" t="s">
        <v>36</v>
      </c>
      <c r="E674">
        <v>47.6</v>
      </c>
      <c r="F674" t="s">
        <v>531</v>
      </c>
      <c r="G674">
        <v>47.6</v>
      </c>
      <c r="H674">
        <v>2025</v>
      </c>
      <c r="I674">
        <v>10</v>
      </c>
      <c r="J674" t="s">
        <v>57</v>
      </c>
      <c r="K674" s="1">
        <v>45958</v>
      </c>
      <c r="L674" t="s">
        <v>50</v>
      </c>
      <c r="M674" t="s">
        <v>39</v>
      </c>
      <c r="N674" t="b">
        <v>1</v>
      </c>
      <c r="O674">
        <v>1108</v>
      </c>
    </row>
    <row r="675" spans="1:15" x14ac:dyDescent="0.35">
      <c r="A675" s="1">
        <v>46106</v>
      </c>
      <c r="B675" t="s">
        <v>532</v>
      </c>
      <c r="C675" t="s">
        <v>137</v>
      </c>
      <c r="D675" t="s">
        <v>36</v>
      </c>
      <c r="E675">
        <v>18.41</v>
      </c>
      <c r="F675" t="s">
        <v>181</v>
      </c>
      <c r="G675">
        <v>18.41</v>
      </c>
      <c r="H675">
        <v>2026</v>
      </c>
      <c r="I675">
        <v>3</v>
      </c>
      <c r="J675" t="s">
        <v>48</v>
      </c>
      <c r="K675" s="1">
        <v>46106</v>
      </c>
      <c r="L675" t="s">
        <v>58</v>
      </c>
      <c r="M675" t="s">
        <v>39</v>
      </c>
      <c r="N675" t="b">
        <v>1</v>
      </c>
      <c r="O675">
        <v>468</v>
      </c>
    </row>
    <row r="676" spans="1:15" x14ac:dyDescent="0.35">
      <c r="A676" s="1">
        <v>46105</v>
      </c>
      <c r="B676" t="s">
        <v>532</v>
      </c>
      <c r="C676" t="s">
        <v>137</v>
      </c>
      <c r="D676" t="s">
        <v>36</v>
      </c>
      <c r="E676">
        <v>11.86</v>
      </c>
      <c r="F676" t="s">
        <v>181</v>
      </c>
      <c r="G676">
        <v>11.86</v>
      </c>
      <c r="H676">
        <v>2026</v>
      </c>
      <c r="I676">
        <v>3</v>
      </c>
      <c r="J676" t="s">
        <v>48</v>
      </c>
      <c r="K676" s="1">
        <v>46105</v>
      </c>
      <c r="L676" t="s">
        <v>50</v>
      </c>
      <c r="M676" t="s">
        <v>39</v>
      </c>
      <c r="N676" t="b">
        <v>1</v>
      </c>
      <c r="O676">
        <v>469</v>
      </c>
    </row>
    <row r="677" spans="1:15" x14ac:dyDescent="0.35">
      <c r="A677" s="1">
        <v>46008</v>
      </c>
      <c r="B677" t="s">
        <v>533</v>
      </c>
      <c r="C677" t="s">
        <v>137</v>
      </c>
      <c r="D677" t="s">
        <v>36</v>
      </c>
      <c r="E677">
        <v>17.41</v>
      </c>
      <c r="F677" t="s">
        <v>534</v>
      </c>
      <c r="G677">
        <v>17.41</v>
      </c>
      <c r="H677">
        <v>2025</v>
      </c>
      <c r="I677">
        <v>12</v>
      </c>
      <c r="J677" t="s">
        <v>66</v>
      </c>
      <c r="K677" s="1">
        <v>46008</v>
      </c>
      <c r="L677" t="s">
        <v>58</v>
      </c>
      <c r="M677" t="s">
        <v>39</v>
      </c>
      <c r="N677" t="b">
        <v>1</v>
      </c>
      <c r="O677">
        <v>470</v>
      </c>
    </row>
    <row r="678" spans="1:15" x14ac:dyDescent="0.35">
      <c r="A678" s="1">
        <v>46008</v>
      </c>
      <c r="B678" t="s">
        <v>535</v>
      </c>
      <c r="C678" t="s">
        <v>137</v>
      </c>
      <c r="D678" t="s">
        <v>36</v>
      </c>
      <c r="E678">
        <v>15.7</v>
      </c>
      <c r="F678" t="s">
        <v>293</v>
      </c>
      <c r="G678">
        <v>15.7</v>
      </c>
      <c r="H678">
        <v>2025</v>
      </c>
      <c r="I678">
        <v>12</v>
      </c>
      <c r="J678" t="s">
        <v>66</v>
      </c>
      <c r="K678" s="1">
        <v>46008</v>
      </c>
      <c r="L678" t="s">
        <v>58</v>
      </c>
      <c r="M678" t="s">
        <v>39</v>
      </c>
      <c r="N678" t="b">
        <v>1</v>
      </c>
      <c r="O678">
        <v>471</v>
      </c>
    </row>
    <row r="679" spans="1:15" x14ac:dyDescent="0.35">
      <c r="A679" s="1">
        <v>45869</v>
      </c>
      <c r="B679" t="s">
        <v>536</v>
      </c>
      <c r="C679" t="s">
        <v>137</v>
      </c>
      <c r="D679" t="s">
        <v>36</v>
      </c>
      <c r="E679">
        <v>9.89</v>
      </c>
      <c r="F679" t="s">
        <v>537</v>
      </c>
      <c r="G679">
        <v>9.89</v>
      </c>
      <c r="H679">
        <v>2025</v>
      </c>
      <c r="I679">
        <v>7</v>
      </c>
      <c r="J679" t="s">
        <v>73</v>
      </c>
      <c r="K679" s="1">
        <v>45869</v>
      </c>
      <c r="L679" t="s">
        <v>23</v>
      </c>
      <c r="M679" t="s">
        <v>39</v>
      </c>
      <c r="N679" t="b">
        <v>1</v>
      </c>
      <c r="O679">
        <v>1225</v>
      </c>
    </row>
    <row r="680" spans="1:15" x14ac:dyDescent="0.35">
      <c r="A680" s="1">
        <v>45860</v>
      </c>
      <c r="B680" t="s">
        <v>538</v>
      </c>
      <c r="C680" t="s">
        <v>137</v>
      </c>
      <c r="D680" t="s">
        <v>36</v>
      </c>
      <c r="E680">
        <v>6.51</v>
      </c>
      <c r="F680" t="s">
        <v>539</v>
      </c>
      <c r="G680">
        <v>6.51</v>
      </c>
      <c r="H680">
        <v>2025</v>
      </c>
      <c r="I680">
        <v>7</v>
      </c>
      <c r="J680" t="s">
        <v>73</v>
      </c>
      <c r="K680" s="1">
        <v>45860</v>
      </c>
      <c r="L680" t="s">
        <v>50</v>
      </c>
      <c r="M680" t="s">
        <v>39</v>
      </c>
      <c r="N680" t="b">
        <v>1</v>
      </c>
      <c r="O680">
        <v>1230</v>
      </c>
    </row>
    <row r="681" spans="1:15" x14ac:dyDescent="0.35">
      <c r="A681" s="1">
        <v>46005</v>
      </c>
      <c r="B681" t="s">
        <v>540</v>
      </c>
      <c r="C681" t="s">
        <v>137</v>
      </c>
      <c r="D681" t="s">
        <v>36</v>
      </c>
      <c r="E681">
        <v>3.29</v>
      </c>
      <c r="F681" t="s">
        <v>189</v>
      </c>
      <c r="G681">
        <v>3.29</v>
      </c>
      <c r="H681">
        <v>2025</v>
      </c>
      <c r="I681">
        <v>12</v>
      </c>
      <c r="J681" t="s">
        <v>66</v>
      </c>
      <c r="K681" s="1">
        <v>46005</v>
      </c>
      <c r="L681" t="s">
        <v>41</v>
      </c>
      <c r="M681" t="s">
        <v>39</v>
      </c>
      <c r="N681" t="b">
        <v>1</v>
      </c>
      <c r="O681">
        <v>480</v>
      </c>
    </row>
    <row r="682" spans="1:15" x14ac:dyDescent="0.35">
      <c r="A682" s="1">
        <v>45830</v>
      </c>
      <c r="B682" t="s">
        <v>525</v>
      </c>
      <c r="C682" t="s">
        <v>137</v>
      </c>
      <c r="D682" t="s">
        <v>36</v>
      </c>
      <c r="E682">
        <v>16.11</v>
      </c>
      <c r="F682" t="s">
        <v>526</v>
      </c>
      <c r="G682">
        <v>16.11</v>
      </c>
      <c r="H682">
        <v>2025</v>
      </c>
      <c r="I682">
        <v>6</v>
      </c>
      <c r="J682" t="s">
        <v>33</v>
      </c>
      <c r="K682" s="1">
        <v>45830</v>
      </c>
      <c r="L682" t="s">
        <v>41</v>
      </c>
      <c r="M682" t="s">
        <v>39</v>
      </c>
      <c r="N682" t="b">
        <v>1</v>
      </c>
      <c r="O682">
        <v>504</v>
      </c>
    </row>
    <row r="683" spans="1:15" x14ac:dyDescent="0.35">
      <c r="A683" s="1">
        <v>45826</v>
      </c>
      <c r="B683" t="s">
        <v>525</v>
      </c>
      <c r="C683" t="s">
        <v>137</v>
      </c>
      <c r="D683" t="s">
        <v>36</v>
      </c>
      <c r="E683">
        <v>4.21</v>
      </c>
      <c r="F683" t="s">
        <v>526</v>
      </c>
      <c r="G683">
        <v>4.21</v>
      </c>
      <c r="H683">
        <v>2025</v>
      </c>
      <c r="I683">
        <v>6</v>
      </c>
      <c r="J683" t="s">
        <v>33</v>
      </c>
      <c r="K683" s="1">
        <v>45826</v>
      </c>
      <c r="L683" t="s">
        <v>58</v>
      </c>
      <c r="M683" t="s">
        <v>39</v>
      </c>
      <c r="N683" t="b">
        <v>1</v>
      </c>
      <c r="O683">
        <v>506</v>
      </c>
    </row>
    <row r="684" spans="1:15" x14ac:dyDescent="0.35">
      <c r="A684" s="1">
        <v>45930</v>
      </c>
      <c r="B684" t="s">
        <v>236</v>
      </c>
      <c r="C684" t="s">
        <v>137</v>
      </c>
      <c r="D684" t="s">
        <v>36</v>
      </c>
      <c r="E684">
        <v>23.06</v>
      </c>
      <c r="F684" t="s">
        <v>237</v>
      </c>
      <c r="G684">
        <v>23.06</v>
      </c>
      <c r="H684">
        <v>2025</v>
      </c>
      <c r="I684">
        <v>9</v>
      </c>
      <c r="J684" t="s">
        <v>30</v>
      </c>
      <c r="K684" s="1">
        <v>45930</v>
      </c>
      <c r="L684" t="s">
        <v>50</v>
      </c>
      <c r="M684" t="s">
        <v>39</v>
      </c>
      <c r="N684" t="b">
        <v>1</v>
      </c>
      <c r="O684">
        <v>660</v>
      </c>
    </row>
    <row r="685" spans="1:15" x14ac:dyDescent="0.35">
      <c r="A685" s="1">
        <v>45916</v>
      </c>
      <c r="B685" t="s">
        <v>541</v>
      </c>
      <c r="C685" t="s">
        <v>218</v>
      </c>
      <c r="D685" t="s">
        <v>36</v>
      </c>
      <c r="E685">
        <v>4.99</v>
      </c>
      <c r="F685" t="s">
        <v>331</v>
      </c>
      <c r="G685">
        <v>4.99</v>
      </c>
      <c r="H685">
        <v>2025</v>
      </c>
      <c r="I685">
        <v>9</v>
      </c>
      <c r="J685" t="s">
        <v>30</v>
      </c>
      <c r="K685" s="1">
        <v>45916</v>
      </c>
      <c r="L685" t="s">
        <v>50</v>
      </c>
      <c r="M685" t="s">
        <v>39</v>
      </c>
      <c r="N685" t="b">
        <v>1</v>
      </c>
      <c r="O685">
        <v>662</v>
      </c>
    </row>
    <row r="686" spans="1:15" x14ac:dyDescent="0.35">
      <c r="A686" s="1">
        <v>45915</v>
      </c>
      <c r="B686" t="s">
        <v>542</v>
      </c>
      <c r="C686" t="s">
        <v>218</v>
      </c>
      <c r="D686" t="s">
        <v>36</v>
      </c>
      <c r="E686">
        <v>4.8600000000000003</v>
      </c>
      <c r="F686" t="s">
        <v>331</v>
      </c>
      <c r="G686">
        <v>4.8600000000000003</v>
      </c>
      <c r="H686">
        <v>2025</v>
      </c>
      <c r="I686">
        <v>9</v>
      </c>
      <c r="J686" t="s">
        <v>30</v>
      </c>
      <c r="K686" s="1">
        <v>45915</v>
      </c>
      <c r="L686" t="s">
        <v>38</v>
      </c>
      <c r="M686" t="s">
        <v>39</v>
      </c>
      <c r="N686" t="b">
        <v>1</v>
      </c>
      <c r="O686">
        <v>663</v>
      </c>
    </row>
    <row r="687" spans="1:15" x14ac:dyDescent="0.35">
      <c r="A687" s="1">
        <v>45916</v>
      </c>
      <c r="B687" t="s">
        <v>543</v>
      </c>
      <c r="C687" t="s">
        <v>218</v>
      </c>
      <c r="D687" t="s">
        <v>36</v>
      </c>
      <c r="E687">
        <v>4.99</v>
      </c>
      <c r="F687" t="s">
        <v>331</v>
      </c>
      <c r="G687">
        <v>4.99</v>
      </c>
      <c r="H687">
        <v>2025</v>
      </c>
      <c r="I687">
        <v>9</v>
      </c>
      <c r="J687" t="s">
        <v>30</v>
      </c>
      <c r="K687" s="1">
        <v>45916</v>
      </c>
      <c r="L687" t="s">
        <v>50</v>
      </c>
      <c r="M687" t="s">
        <v>39</v>
      </c>
      <c r="N687" t="b">
        <v>1</v>
      </c>
      <c r="O687">
        <v>664</v>
      </c>
    </row>
    <row r="688" spans="1:15" x14ac:dyDescent="0.35">
      <c r="A688" s="1">
        <v>45894</v>
      </c>
      <c r="B688" t="s">
        <v>544</v>
      </c>
      <c r="C688" t="s">
        <v>218</v>
      </c>
      <c r="D688" t="s">
        <v>36</v>
      </c>
      <c r="E688">
        <v>14.95</v>
      </c>
      <c r="F688" t="s">
        <v>331</v>
      </c>
      <c r="G688">
        <v>14.95</v>
      </c>
      <c r="H688">
        <v>2025</v>
      </c>
      <c r="I688">
        <v>8</v>
      </c>
      <c r="J688" t="s">
        <v>71</v>
      </c>
      <c r="K688" s="1">
        <v>45894</v>
      </c>
      <c r="L688" t="s">
        <v>38</v>
      </c>
      <c r="M688" t="s">
        <v>39</v>
      </c>
      <c r="N688" t="b">
        <v>1</v>
      </c>
      <c r="O688">
        <v>665</v>
      </c>
    </row>
    <row r="689" spans="1:15" x14ac:dyDescent="0.35">
      <c r="A689" s="1">
        <v>45863</v>
      </c>
      <c r="B689" t="s">
        <v>545</v>
      </c>
      <c r="C689" t="s">
        <v>218</v>
      </c>
      <c r="D689" t="s">
        <v>36</v>
      </c>
      <c r="E689">
        <v>14.95</v>
      </c>
      <c r="F689" t="s">
        <v>331</v>
      </c>
      <c r="G689">
        <v>14.95</v>
      </c>
      <c r="H689">
        <v>2025</v>
      </c>
      <c r="I689">
        <v>7</v>
      </c>
      <c r="J689" t="s">
        <v>73</v>
      </c>
      <c r="K689" s="1">
        <v>45863</v>
      </c>
      <c r="L689" t="s">
        <v>31</v>
      </c>
      <c r="M689" t="s">
        <v>39</v>
      </c>
      <c r="N689" t="b">
        <v>1</v>
      </c>
      <c r="O689">
        <v>666</v>
      </c>
    </row>
    <row r="690" spans="1:15" x14ac:dyDescent="0.35">
      <c r="A690" s="1">
        <v>45833</v>
      </c>
      <c r="B690" t="s">
        <v>546</v>
      </c>
      <c r="C690" t="s">
        <v>218</v>
      </c>
      <c r="D690" t="s">
        <v>36</v>
      </c>
      <c r="E690">
        <v>14.95</v>
      </c>
      <c r="F690" t="s">
        <v>331</v>
      </c>
      <c r="G690">
        <v>14.95</v>
      </c>
      <c r="H690">
        <v>2025</v>
      </c>
      <c r="I690">
        <v>6</v>
      </c>
      <c r="J690" t="s">
        <v>33</v>
      </c>
      <c r="K690" s="1">
        <v>45833</v>
      </c>
      <c r="L690" t="s">
        <v>58</v>
      </c>
      <c r="M690" t="s">
        <v>39</v>
      </c>
      <c r="N690" t="b">
        <v>1</v>
      </c>
      <c r="O690">
        <v>667</v>
      </c>
    </row>
    <row r="691" spans="1:15" x14ac:dyDescent="0.35">
      <c r="A691" s="1">
        <v>45813</v>
      </c>
      <c r="B691" t="s">
        <v>547</v>
      </c>
      <c r="C691" t="s">
        <v>218</v>
      </c>
      <c r="D691" t="s">
        <v>36</v>
      </c>
      <c r="E691">
        <v>3.24</v>
      </c>
      <c r="F691" t="s">
        <v>331</v>
      </c>
      <c r="G691">
        <v>3.24</v>
      </c>
      <c r="H691">
        <v>2025</v>
      </c>
      <c r="I691">
        <v>6</v>
      </c>
      <c r="J691" t="s">
        <v>33</v>
      </c>
      <c r="K691" s="1">
        <v>45813</v>
      </c>
      <c r="L691" t="s">
        <v>23</v>
      </c>
      <c r="M691" t="s">
        <v>39</v>
      </c>
      <c r="N691" t="b">
        <v>1</v>
      </c>
      <c r="O691">
        <v>668</v>
      </c>
    </row>
    <row r="692" spans="1:15" x14ac:dyDescent="0.35">
      <c r="A692" s="1">
        <v>45813</v>
      </c>
      <c r="B692" t="s">
        <v>548</v>
      </c>
      <c r="C692" t="s">
        <v>218</v>
      </c>
      <c r="D692" t="s">
        <v>36</v>
      </c>
      <c r="E692">
        <v>3.24</v>
      </c>
      <c r="F692" t="s">
        <v>331</v>
      </c>
      <c r="G692">
        <v>3.24</v>
      </c>
      <c r="H692">
        <v>2025</v>
      </c>
      <c r="I692">
        <v>6</v>
      </c>
      <c r="J692" t="s">
        <v>33</v>
      </c>
      <c r="K692" s="1">
        <v>45813</v>
      </c>
      <c r="L692" t="s">
        <v>23</v>
      </c>
      <c r="M692" t="s">
        <v>39</v>
      </c>
      <c r="N692" t="b">
        <v>1</v>
      </c>
      <c r="O692">
        <v>669</v>
      </c>
    </row>
    <row r="693" spans="1:15" x14ac:dyDescent="0.35">
      <c r="A693" s="1">
        <v>45811</v>
      </c>
      <c r="B693" t="s">
        <v>549</v>
      </c>
      <c r="C693" t="s">
        <v>218</v>
      </c>
      <c r="D693" t="s">
        <v>36</v>
      </c>
      <c r="E693">
        <v>4.41</v>
      </c>
      <c r="F693" t="s">
        <v>331</v>
      </c>
      <c r="G693">
        <v>4.41</v>
      </c>
      <c r="H693">
        <v>2025</v>
      </c>
      <c r="I693">
        <v>6</v>
      </c>
      <c r="J693" t="s">
        <v>33</v>
      </c>
      <c r="K693" s="1">
        <v>45811</v>
      </c>
      <c r="L693" t="s">
        <v>50</v>
      </c>
      <c r="M693" t="s">
        <v>39</v>
      </c>
      <c r="N693" t="b">
        <v>1</v>
      </c>
      <c r="O693">
        <v>670</v>
      </c>
    </row>
    <row r="694" spans="1:15" x14ac:dyDescent="0.35">
      <c r="A694" s="1">
        <v>45920</v>
      </c>
      <c r="B694" t="s">
        <v>550</v>
      </c>
      <c r="C694" t="s">
        <v>137</v>
      </c>
      <c r="D694" t="s">
        <v>36</v>
      </c>
      <c r="E694">
        <v>39.67</v>
      </c>
      <c r="F694" t="s">
        <v>235</v>
      </c>
      <c r="G694">
        <v>39.67</v>
      </c>
      <c r="H694">
        <v>2025</v>
      </c>
      <c r="I694">
        <v>9</v>
      </c>
      <c r="J694" t="s">
        <v>30</v>
      </c>
      <c r="K694" s="1">
        <v>45920</v>
      </c>
      <c r="L694" t="s">
        <v>20</v>
      </c>
      <c r="M694" t="s">
        <v>39</v>
      </c>
      <c r="N694" t="b">
        <v>1</v>
      </c>
      <c r="O694">
        <v>671</v>
      </c>
    </row>
    <row r="695" spans="1:15" x14ac:dyDescent="0.35">
      <c r="A695" s="1">
        <v>46010</v>
      </c>
      <c r="B695" t="s">
        <v>551</v>
      </c>
      <c r="C695" t="s">
        <v>218</v>
      </c>
      <c r="D695" t="s">
        <v>36</v>
      </c>
      <c r="E695">
        <v>33.299999999999997</v>
      </c>
      <c r="F695" t="s">
        <v>552</v>
      </c>
      <c r="G695">
        <v>33.299999999999997</v>
      </c>
      <c r="H695">
        <v>2025</v>
      </c>
      <c r="I695">
        <v>12</v>
      </c>
      <c r="J695" t="s">
        <v>66</v>
      </c>
      <c r="K695" s="1">
        <v>46010</v>
      </c>
      <c r="L695" t="s">
        <v>31</v>
      </c>
      <c r="M695" t="s">
        <v>39</v>
      </c>
      <c r="N695" t="b">
        <v>1</v>
      </c>
      <c r="O695">
        <v>1054</v>
      </c>
    </row>
    <row r="696" spans="1:15" x14ac:dyDescent="0.35">
      <c r="A696" s="1">
        <v>46112</v>
      </c>
      <c r="B696" t="s">
        <v>553</v>
      </c>
      <c r="C696" t="s">
        <v>218</v>
      </c>
      <c r="D696" t="s">
        <v>36</v>
      </c>
      <c r="E696">
        <v>89</v>
      </c>
      <c r="F696" t="s">
        <v>553</v>
      </c>
      <c r="G696">
        <v>89</v>
      </c>
      <c r="H696">
        <v>2026</v>
      </c>
      <c r="I696">
        <v>3</v>
      </c>
      <c r="J696" t="s">
        <v>48</v>
      </c>
      <c r="K696" s="1">
        <v>46112</v>
      </c>
      <c r="L696" t="s">
        <v>50</v>
      </c>
      <c r="M696" t="s">
        <v>39</v>
      </c>
      <c r="N696" t="b">
        <v>1</v>
      </c>
      <c r="O696">
        <v>959</v>
      </c>
    </row>
    <row r="697" spans="1:15" x14ac:dyDescent="0.35">
      <c r="A697" s="1">
        <v>46094</v>
      </c>
      <c r="B697" t="s">
        <v>192</v>
      </c>
      <c r="C697" t="s">
        <v>137</v>
      </c>
      <c r="D697" t="s">
        <v>36</v>
      </c>
      <c r="E697">
        <v>5.17</v>
      </c>
      <c r="F697" t="s">
        <v>138</v>
      </c>
      <c r="G697">
        <v>5.17</v>
      </c>
      <c r="H697">
        <v>2026</v>
      </c>
      <c r="I697">
        <v>3</v>
      </c>
      <c r="J697" t="s">
        <v>48</v>
      </c>
      <c r="K697" s="1">
        <v>46094</v>
      </c>
      <c r="L697" t="s">
        <v>31</v>
      </c>
      <c r="M697" t="s">
        <v>39</v>
      </c>
      <c r="N697" t="b">
        <v>1</v>
      </c>
      <c r="O697">
        <v>960</v>
      </c>
    </row>
    <row r="698" spans="1:15" x14ac:dyDescent="0.35">
      <c r="A698" s="1">
        <v>46070</v>
      </c>
      <c r="B698" t="s">
        <v>192</v>
      </c>
      <c r="C698" t="s">
        <v>137</v>
      </c>
      <c r="D698" t="s">
        <v>36</v>
      </c>
      <c r="E698">
        <v>9.6999999999999993</v>
      </c>
      <c r="F698" t="s">
        <v>138</v>
      </c>
      <c r="G698">
        <v>9.6999999999999993</v>
      </c>
      <c r="H698">
        <v>2026</v>
      </c>
      <c r="I698">
        <v>2</v>
      </c>
      <c r="J698" t="s">
        <v>19</v>
      </c>
      <c r="K698" s="1">
        <v>46070</v>
      </c>
      <c r="L698" t="s">
        <v>50</v>
      </c>
      <c r="M698" t="s">
        <v>39</v>
      </c>
      <c r="N698" t="b">
        <v>1</v>
      </c>
      <c r="O698">
        <v>961</v>
      </c>
    </row>
    <row r="699" spans="1:15" x14ac:dyDescent="0.35">
      <c r="A699" s="1">
        <v>46106</v>
      </c>
      <c r="B699" t="s">
        <v>554</v>
      </c>
      <c r="C699" t="s">
        <v>218</v>
      </c>
      <c r="D699" t="s">
        <v>36</v>
      </c>
      <c r="E699">
        <v>14.95</v>
      </c>
      <c r="F699" t="s">
        <v>331</v>
      </c>
      <c r="G699">
        <v>14.95</v>
      </c>
      <c r="H699">
        <v>2026</v>
      </c>
      <c r="I699">
        <v>3</v>
      </c>
      <c r="J699" t="s">
        <v>48</v>
      </c>
      <c r="K699" s="1">
        <v>46106</v>
      </c>
      <c r="L699" t="s">
        <v>58</v>
      </c>
      <c r="M699" t="s">
        <v>39</v>
      </c>
      <c r="N699" t="b">
        <v>1</v>
      </c>
      <c r="O699">
        <v>962</v>
      </c>
    </row>
    <row r="700" spans="1:15" x14ac:dyDescent="0.35">
      <c r="A700" s="1">
        <v>46078</v>
      </c>
      <c r="B700" t="s">
        <v>555</v>
      </c>
      <c r="C700" t="s">
        <v>218</v>
      </c>
      <c r="D700" t="s">
        <v>36</v>
      </c>
      <c r="E700">
        <v>14.95</v>
      </c>
      <c r="F700" t="s">
        <v>331</v>
      </c>
      <c r="G700">
        <v>14.95</v>
      </c>
      <c r="H700">
        <v>2026</v>
      </c>
      <c r="I700">
        <v>2</v>
      </c>
      <c r="J700" t="s">
        <v>19</v>
      </c>
      <c r="K700" s="1">
        <v>46078</v>
      </c>
      <c r="L700" t="s">
        <v>58</v>
      </c>
      <c r="M700" t="s">
        <v>39</v>
      </c>
      <c r="N700" t="b">
        <v>1</v>
      </c>
      <c r="O700">
        <v>963</v>
      </c>
    </row>
    <row r="701" spans="1:15" x14ac:dyDescent="0.35">
      <c r="A701" s="1">
        <v>46098</v>
      </c>
      <c r="B701" t="s">
        <v>556</v>
      </c>
      <c r="C701" t="s">
        <v>137</v>
      </c>
      <c r="D701" t="s">
        <v>36</v>
      </c>
      <c r="E701">
        <v>13.24</v>
      </c>
      <c r="F701" t="s">
        <v>451</v>
      </c>
      <c r="G701">
        <v>13.24</v>
      </c>
      <c r="H701">
        <v>2026</v>
      </c>
      <c r="I701">
        <v>3</v>
      </c>
      <c r="J701" t="s">
        <v>48</v>
      </c>
      <c r="K701" s="1">
        <v>46098</v>
      </c>
      <c r="L701" t="s">
        <v>50</v>
      </c>
      <c r="M701" t="s">
        <v>39</v>
      </c>
      <c r="N701" t="b">
        <v>1</v>
      </c>
      <c r="O701">
        <v>964</v>
      </c>
    </row>
    <row r="702" spans="1:15" x14ac:dyDescent="0.35">
      <c r="A702" s="1">
        <v>46065</v>
      </c>
      <c r="B702" t="s">
        <v>192</v>
      </c>
      <c r="C702" t="s">
        <v>137</v>
      </c>
      <c r="D702" t="s">
        <v>36</v>
      </c>
      <c r="E702">
        <v>20.18</v>
      </c>
      <c r="F702" t="s">
        <v>138</v>
      </c>
      <c r="G702">
        <v>20.18</v>
      </c>
      <c r="H702">
        <v>2026</v>
      </c>
      <c r="I702">
        <v>2</v>
      </c>
      <c r="J702" t="s">
        <v>19</v>
      </c>
      <c r="K702" s="1">
        <v>46065</v>
      </c>
      <c r="L702" t="s">
        <v>23</v>
      </c>
      <c r="M702" t="s">
        <v>39</v>
      </c>
      <c r="N702" t="b">
        <v>1</v>
      </c>
      <c r="O702">
        <v>965</v>
      </c>
    </row>
    <row r="703" spans="1:15" x14ac:dyDescent="0.35">
      <c r="A703" s="1">
        <v>46103</v>
      </c>
      <c r="B703" t="s">
        <v>557</v>
      </c>
      <c r="C703" t="s">
        <v>137</v>
      </c>
      <c r="D703" t="s">
        <v>36</v>
      </c>
      <c r="E703">
        <v>12.31</v>
      </c>
      <c r="F703" t="s">
        <v>427</v>
      </c>
      <c r="G703">
        <v>12.31</v>
      </c>
      <c r="H703">
        <v>2026</v>
      </c>
      <c r="I703">
        <v>3</v>
      </c>
      <c r="J703" t="s">
        <v>48</v>
      </c>
      <c r="K703" s="1">
        <v>46103</v>
      </c>
      <c r="L703" t="s">
        <v>41</v>
      </c>
      <c r="M703" t="s">
        <v>39</v>
      </c>
      <c r="N703" t="b">
        <v>1</v>
      </c>
      <c r="O703">
        <v>966</v>
      </c>
    </row>
    <row r="704" spans="1:15" x14ac:dyDescent="0.35">
      <c r="A704" s="1">
        <v>46094</v>
      </c>
      <c r="B704" t="s">
        <v>426</v>
      </c>
      <c r="C704" t="s">
        <v>137</v>
      </c>
      <c r="D704" t="s">
        <v>36</v>
      </c>
      <c r="E704">
        <v>15.93</v>
      </c>
      <c r="F704" t="s">
        <v>427</v>
      </c>
      <c r="G704">
        <v>15.93</v>
      </c>
      <c r="H704">
        <v>2026</v>
      </c>
      <c r="I704">
        <v>3</v>
      </c>
      <c r="J704" t="s">
        <v>48</v>
      </c>
      <c r="K704" s="1">
        <v>46094</v>
      </c>
      <c r="L704" t="s">
        <v>31</v>
      </c>
      <c r="M704" t="s">
        <v>39</v>
      </c>
      <c r="N704" t="b">
        <v>1</v>
      </c>
      <c r="O704">
        <v>968</v>
      </c>
    </row>
    <row r="705" spans="1:15" x14ac:dyDescent="0.35">
      <c r="A705" s="1">
        <v>46099</v>
      </c>
      <c r="B705" t="s">
        <v>553</v>
      </c>
      <c r="C705" t="s">
        <v>218</v>
      </c>
      <c r="D705" t="s">
        <v>36</v>
      </c>
      <c r="E705">
        <v>58</v>
      </c>
      <c r="F705" t="s">
        <v>553</v>
      </c>
      <c r="G705">
        <v>58</v>
      </c>
      <c r="H705">
        <v>2026</v>
      </c>
      <c r="I705">
        <v>3</v>
      </c>
      <c r="J705" t="s">
        <v>48</v>
      </c>
      <c r="K705" s="1">
        <v>46099</v>
      </c>
      <c r="L705" t="s">
        <v>58</v>
      </c>
      <c r="M705" t="s">
        <v>39</v>
      </c>
      <c r="N705" t="b">
        <v>1</v>
      </c>
      <c r="O705">
        <v>975</v>
      </c>
    </row>
    <row r="706" spans="1:15" x14ac:dyDescent="0.35">
      <c r="A706" s="1">
        <v>46079</v>
      </c>
      <c r="B706" t="s">
        <v>294</v>
      </c>
      <c r="C706" t="s">
        <v>137</v>
      </c>
      <c r="D706" t="s">
        <v>36</v>
      </c>
      <c r="E706">
        <v>5.63</v>
      </c>
      <c r="F706" t="s">
        <v>221</v>
      </c>
      <c r="G706">
        <v>5.63</v>
      </c>
      <c r="H706">
        <v>2026</v>
      </c>
      <c r="I706">
        <v>2</v>
      </c>
      <c r="J706" t="s">
        <v>19</v>
      </c>
      <c r="K706" s="1">
        <v>46079</v>
      </c>
      <c r="L706" t="s">
        <v>23</v>
      </c>
      <c r="M706" t="s">
        <v>39</v>
      </c>
      <c r="N706" t="b">
        <v>1</v>
      </c>
      <c r="O706">
        <v>978</v>
      </c>
    </row>
    <row r="707" spans="1:15" x14ac:dyDescent="0.35">
      <c r="A707" s="1">
        <v>46089</v>
      </c>
      <c r="B707" t="s">
        <v>553</v>
      </c>
      <c r="C707" t="s">
        <v>218</v>
      </c>
      <c r="D707" t="s">
        <v>36</v>
      </c>
      <c r="E707">
        <v>131.5</v>
      </c>
      <c r="F707" t="s">
        <v>553</v>
      </c>
      <c r="G707">
        <v>131.5</v>
      </c>
      <c r="H707">
        <v>2026</v>
      </c>
      <c r="I707">
        <v>3</v>
      </c>
      <c r="J707" t="s">
        <v>48</v>
      </c>
      <c r="K707" s="1">
        <v>46089</v>
      </c>
      <c r="L707" t="s">
        <v>41</v>
      </c>
      <c r="M707" t="s">
        <v>39</v>
      </c>
      <c r="N707" t="b">
        <v>1</v>
      </c>
      <c r="O707">
        <v>979</v>
      </c>
    </row>
    <row r="708" spans="1:15" x14ac:dyDescent="0.35">
      <c r="A708" s="1">
        <v>46081</v>
      </c>
      <c r="B708" t="s">
        <v>558</v>
      </c>
      <c r="C708" t="s">
        <v>137</v>
      </c>
      <c r="D708" t="s">
        <v>36</v>
      </c>
      <c r="E708">
        <v>13.02</v>
      </c>
      <c r="F708" t="s">
        <v>451</v>
      </c>
      <c r="G708">
        <v>13.02</v>
      </c>
      <c r="H708">
        <v>2026</v>
      </c>
      <c r="I708">
        <v>2</v>
      </c>
      <c r="J708" t="s">
        <v>19</v>
      </c>
      <c r="K708" s="1">
        <v>46081</v>
      </c>
      <c r="L708" t="s">
        <v>20</v>
      </c>
      <c r="M708" t="s">
        <v>39</v>
      </c>
      <c r="N708" t="b">
        <v>1</v>
      </c>
      <c r="O708">
        <v>997</v>
      </c>
    </row>
    <row r="709" spans="1:15" x14ac:dyDescent="0.35">
      <c r="A709" s="1">
        <v>46077</v>
      </c>
      <c r="B709" t="s">
        <v>556</v>
      </c>
      <c r="C709" t="s">
        <v>137</v>
      </c>
      <c r="D709" t="s">
        <v>36</v>
      </c>
      <c r="E709">
        <v>6.24</v>
      </c>
      <c r="F709" t="s">
        <v>451</v>
      </c>
      <c r="G709">
        <v>6.24</v>
      </c>
      <c r="H709">
        <v>2026</v>
      </c>
      <c r="I709">
        <v>2</v>
      </c>
      <c r="J709" t="s">
        <v>19</v>
      </c>
      <c r="K709" s="1">
        <v>46077</v>
      </c>
      <c r="L709" t="s">
        <v>50</v>
      </c>
      <c r="M709" t="s">
        <v>39</v>
      </c>
      <c r="N709" t="b">
        <v>1</v>
      </c>
      <c r="O709">
        <v>998</v>
      </c>
    </row>
    <row r="710" spans="1:15" x14ac:dyDescent="0.35">
      <c r="A710" s="1">
        <v>46067</v>
      </c>
      <c r="B710" t="s">
        <v>559</v>
      </c>
      <c r="C710" t="s">
        <v>137</v>
      </c>
      <c r="D710" t="s">
        <v>36</v>
      </c>
      <c r="E710">
        <v>12.15</v>
      </c>
      <c r="F710" t="s">
        <v>451</v>
      </c>
      <c r="G710">
        <v>12.15</v>
      </c>
      <c r="H710">
        <v>2026</v>
      </c>
      <c r="I710">
        <v>2</v>
      </c>
      <c r="J710" t="s">
        <v>19</v>
      </c>
      <c r="K710" s="1">
        <v>46067</v>
      </c>
      <c r="L710" t="s">
        <v>20</v>
      </c>
      <c r="M710" t="s">
        <v>39</v>
      </c>
      <c r="N710" t="b">
        <v>1</v>
      </c>
      <c r="O710">
        <v>1001</v>
      </c>
    </row>
    <row r="711" spans="1:15" x14ac:dyDescent="0.35">
      <c r="A711" s="1">
        <v>46093</v>
      </c>
      <c r="B711" t="s">
        <v>523</v>
      </c>
      <c r="C711" t="s">
        <v>137</v>
      </c>
      <c r="D711" t="s">
        <v>36</v>
      </c>
      <c r="E711">
        <v>8.89</v>
      </c>
      <c r="F711" t="s">
        <v>189</v>
      </c>
      <c r="G711">
        <v>8.89</v>
      </c>
      <c r="H711">
        <v>2026</v>
      </c>
      <c r="I711">
        <v>3</v>
      </c>
      <c r="J711" t="s">
        <v>48</v>
      </c>
      <c r="K711" s="1">
        <v>46093</v>
      </c>
      <c r="L711" t="s">
        <v>23</v>
      </c>
      <c r="M711" t="s">
        <v>39</v>
      </c>
      <c r="N711" t="b">
        <v>1</v>
      </c>
      <c r="O711">
        <v>1005</v>
      </c>
    </row>
    <row r="712" spans="1:15" x14ac:dyDescent="0.35">
      <c r="A712" s="1">
        <v>46090</v>
      </c>
      <c r="B712" t="s">
        <v>524</v>
      </c>
      <c r="C712" t="s">
        <v>137</v>
      </c>
      <c r="D712" t="s">
        <v>36</v>
      </c>
      <c r="E712">
        <v>10.27</v>
      </c>
      <c r="F712" t="s">
        <v>189</v>
      </c>
      <c r="G712">
        <v>10.27</v>
      </c>
      <c r="H712">
        <v>2026</v>
      </c>
      <c r="I712">
        <v>3</v>
      </c>
      <c r="J712" t="s">
        <v>48</v>
      </c>
      <c r="K712" s="1">
        <v>46090</v>
      </c>
      <c r="L712" t="s">
        <v>38</v>
      </c>
      <c r="M712" t="s">
        <v>39</v>
      </c>
      <c r="N712" t="b">
        <v>1</v>
      </c>
      <c r="O712">
        <v>1006</v>
      </c>
    </row>
    <row r="713" spans="1:15" x14ac:dyDescent="0.35">
      <c r="A713" s="1">
        <v>46089</v>
      </c>
      <c r="B713" t="s">
        <v>560</v>
      </c>
      <c r="C713" t="s">
        <v>137</v>
      </c>
      <c r="D713" t="s">
        <v>36</v>
      </c>
      <c r="E713">
        <v>21.88</v>
      </c>
      <c r="F713" t="s">
        <v>189</v>
      </c>
      <c r="G713">
        <v>21.88</v>
      </c>
      <c r="H713">
        <v>2026</v>
      </c>
      <c r="I713">
        <v>3</v>
      </c>
      <c r="J713" t="s">
        <v>48</v>
      </c>
      <c r="K713" s="1">
        <v>46089</v>
      </c>
      <c r="L713" t="s">
        <v>41</v>
      </c>
      <c r="M713" t="s">
        <v>39</v>
      </c>
      <c r="N713" t="b">
        <v>1</v>
      </c>
      <c r="O713">
        <v>1007</v>
      </c>
    </row>
    <row r="714" spans="1:15" x14ac:dyDescent="0.35">
      <c r="A714" s="1">
        <v>45931</v>
      </c>
      <c r="B714" t="s">
        <v>197</v>
      </c>
      <c r="C714" t="s">
        <v>282</v>
      </c>
      <c r="D714" t="s">
        <v>36</v>
      </c>
      <c r="E714">
        <v>180.37</v>
      </c>
      <c r="F714" t="s">
        <v>156</v>
      </c>
      <c r="G714">
        <v>180.37</v>
      </c>
      <c r="H714">
        <v>2025</v>
      </c>
      <c r="I714">
        <v>10</v>
      </c>
      <c r="J714" t="s">
        <v>57</v>
      </c>
      <c r="K714" s="1">
        <v>45931</v>
      </c>
      <c r="L714" t="s">
        <v>58</v>
      </c>
      <c r="M714" t="s">
        <v>39</v>
      </c>
      <c r="N714" t="b">
        <v>0</v>
      </c>
      <c r="O714">
        <v>588</v>
      </c>
    </row>
    <row r="715" spans="1:15" x14ac:dyDescent="0.35">
      <c r="A715" s="1">
        <v>45917</v>
      </c>
      <c r="B715" t="s">
        <v>155</v>
      </c>
      <c r="C715" t="s">
        <v>282</v>
      </c>
      <c r="D715" t="s">
        <v>36</v>
      </c>
      <c r="E715">
        <v>75.06</v>
      </c>
      <c r="F715" t="s">
        <v>156</v>
      </c>
      <c r="G715">
        <v>75.06</v>
      </c>
      <c r="H715">
        <v>2025</v>
      </c>
      <c r="I715">
        <v>9</v>
      </c>
      <c r="J715" t="s">
        <v>30</v>
      </c>
      <c r="K715" s="1">
        <v>45917</v>
      </c>
      <c r="L715" t="s">
        <v>58</v>
      </c>
      <c r="M715" t="s">
        <v>39</v>
      </c>
      <c r="N715" t="b">
        <v>0</v>
      </c>
      <c r="O715">
        <v>513</v>
      </c>
    </row>
    <row r="716" spans="1:15" x14ac:dyDescent="0.35">
      <c r="A716" s="1">
        <v>45891</v>
      </c>
      <c r="B716" t="s">
        <v>198</v>
      </c>
      <c r="C716" t="s">
        <v>282</v>
      </c>
      <c r="D716" t="s">
        <v>36</v>
      </c>
      <c r="E716">
        <v>106.75</v>
      </c>
      <c r="F716" t="s">
        <v>156</v>
      </c>
      <c r="G716">
        <v>106.75</v>
      </c>
      <c r="H716">
        <v>2025</v>
      </c>
      <c r="I716">
        <v>8</v>
      </c>
      <c r="J716" t="s">
        <v>71</v>
      </c>
      <c r="K716" s="1">
        <v>45891</v>
      </c>
      <c r="L716" t="s">
        <v>31</v>
      </c>
      <c r="M716" t="s">
        <v>39</v>
      </c>
      <c r="N716" t="b">
        <v>0</v>
      </c>
      <c r="O716">
        <v>478</v>
      </c>
    </row>
    <row r="717" spans="1:15" x14ac:dyDescent="0.35">
      <c r="A717" s="1">
        <v>46092</v>
      </c>
      <c r="B717" t="s">
        <v>197</v>
      </c>
      <c r="C717" t="s">
        <v>282</v>
      </c>
      <c r="D717" t="s">
        <v>36</v>
      </c>
      <c r="E717">
        <v>12.14</v>
      </c>
      <c r="F717" t="s">
        <v>156</v>
      </c>
      <c r="G717">
        <v>12.14</v>
      </c>
      <c r="H717">
        <v>2026</v>
      </c>
      <c r="I717">
        <v>3</v>
      </c>
      <c r="J717" t="s">
        <v>48</v>
      </c>
      <c r="K717" s="1">
        <v>46092</v>
      </c>
      <c r="L717" t="s">
        <v>58</v>
      </c>
      <c r="M717" t="s">
        <v>39</v>
      </c>
      <c r="N717" t="b">
        <v>0</v>
      </c>
      <c r="O717">
        <v>455</v>
      </c>
    </row>
    <row r="718" spans="1:15" x14ac:dyDescent="0.35">
      <c r="A718" s="1">
        <v>45811</v>
      </c>
      <c r="B718" t="s">
        <v>194</v>
      </c>
      <c r="C718" t="s">
        <v>282</v>
      </c>
      <c r="D718" t="s">
        <v>36</v>
      </c>
      <c r="E718">
        <v>84.21</v>
      </c>
      <c r="F718" t="s">
        <v>156</v>
      </c>
      <c r="G718">
        <v>84.21</v>
      </c>
      <c r="H718">
        <v>2025</v>
      </c>
      <c r="I718">
        <v>6</v>
      </c>
      <c r="J718" t="s">
        <v>33</v>
      </c>
      <c r="K718" s="1">
        <v>45811</v>
      </c>
      <c r="L718" t="s">
        <v>50</v>
      </c>
      <c r="M718" t="s">
        <v>39</v>
      </c>
      <c r="N718" t="b">
        <v>0</v>
      </c>
      <c r="O718">
        <v>570</v>
      </c>
    </row>
    <row r="719" spans="1:15" x14ac:dyDescent="0.35">
      <c r="A719" s="1">
        <v>45909</v>
      </c>
      <c r="B719" t="s">
        <v>194</v>
      </c>
      <c r="C719" t="s">
        <v>282</v>
      </c>
      <c r="D719" t="s">
        <v>36</v>
      </c>
      <c r="E719">
        <v>65.98</v>
      </c>
      <c r="F719" t="s">
        <v>156</v>
      </c>
      <c r="G719">
        <v>65.98</v>
      </c>
      <c r="H719">
        <v>2025</v>
      </c>
      <c r="I719">
        <v>9</v>
      </c>
      <c r="J719" t="s">
        <v>30</v>
      </c>
      <c r="K719" s="1">
        <v>45909</v>
      </c>
      <c r="L719" t="s">
        <v>50</v>
      </c>
      <c r="M719" t="s">
        <v>39</v>
      </c>
      <c r="N719" t="b">
        <v>0</v>
      </c>
      <c r="O719">
        <v>558</v>
      </c>
    </row>
    <row r="720" spans="1:15" x14ac:dyDescent="0.35">
      <c r="A720" s="1">
        <v>46023</v>
      </c>
      <c r="B720" t="s">
        <v>155</v>
      </c>
      <c r="C720" t="s">
        <v>282</v>
      </c>
      <c r="D720" t="s">
        <v>36</v>
      </c>
      <c r="E720">
        <v>53.17</v>
      </c>
      <c r="F720" t="s">
        <v>156</v>
      </c>
      <c r="G720">
        <v>53.17</v>
      </c>
      <c r="H720">
        <v>2026</v>
      </c>
      <c r="I720">
        <v>1</v>
      </c>
      <c r="J720" t="s">
        <v>24</v>
      </c>
      <c r="K720" s="1">
        <v>46023</v>
      </c>
      <c r="L720" t="s">
        <v>23</v>
      </c>
      <c r="M720" t="s">
        <v>39</v>
      </c>
      <c r="N720" t="b">
        <v>0</v>
      </c>
      <c r="O720">
        <v>545</v>
      </c>
    </row>
    <row r="721" spans="1:15" x14ac:dyDescent="0.35">
      <c r="A721" s="1">
        <v>45839</v>
      </c>
      <c r="B721" t="s">
        <v>205</v>
      </c>
      <c r="C721" t="s">
        <v>282</v>
      </c>
      <c r="D721" t="s">
        <v>36</v>
      </c>
      <c r="E721">
        <v>63.85</v>
      </c>
      <c r="F721" t="s">
        <v>156</v>
      </c>
      <c r="G721">
        <v>63.85</v>
      </c>
      <c r="H721">
        <v>2025</v>
      </c>
      <c r="I721">
        <v>7</v>
      </c>
      <c r="J721" t="s">
        <v>73</v>
      </c>
      <c r="K721" s="1">
        <v>45839</v>
      </c>
      <c r="L721" t="s">
        <v>50</v>
      </c>
      <c r="M721" t="s">
        <v>39</v>
      </c>
      <c r="N721" t="b">
        <v>0</v>
      </c>
      <c r="O721">
        <v>489</v>
      </c>
    </row>
    <row r="722" spans="1:15" x14ac:dyDescent="0.35">
      <c r="A722" s="1">
        <v>46077</v>
      </c>
      <c r="B722" t="s">
        <v>540</v>
      </c>
      <c r="C722" t="s">
        <v>137</v>
      </c>
      <c r="D722" t="s">
        <v>36</v>
      </c>
      <c r="E722">
        <v>12.31</v>
      </c>
      <c r="F722" t="s">
        <v>189</v>
      </c>
      <c r="G722">
        <v>12.31</v>
      </c>
      <c r="H722">
        <v>2026</v>
      </c>
      <c r="I722">
        <v>2</v>
      </c>
      <c r="J722" t="s">
        <v>19</v>
      </c>
      <c r="K722" s="1">
        <v>46077</v>
      </c>
      <c r="L722" t="s">
        <v>50</v>
      </c>
      <c r="M722" t="s">
        <v>39</v>
      </c>
      <c r="N722" t="b">
        <v>1</v>
      </c>
      <c r="O722">
        <v>1008</v>
      </c>
    </row>
    <row r="723" spans="1:15" x14ac:dyDescent="0.35">
      <c r="A723" s="1">
        <v>46076</v>
      </c>
      <c r="B723" t="s">
        <v>523</v>
      </c>
      <c r="C723" t="s">
        <v>137</v>
      </c>
      <c r="D723" t="s">
        <v>36</v>
      </c>
      <c r="E723">
        <v>5.63</v>
      </c>
      <c r="F723" t="s">
        <v>189</v>
      </c>
      <c r="G723">
        <v>5.63</v>
      </c>
      <c r="H723">
        <v>2026</v>
      </c>
      <c r="I723">
        <v>2</v>
      </c>
      <c r="J723" t="s">
        <v>19</v>
      </c>
      <c r="K723" s="1">
        <v>46076</v>
      </c>
      <c r="L723" t="s">
        <v>38</v>
      </c>
      <c r="M723" t="s">
        <v>39</v>
      </c>
      <c r="N723" t="b">
        <v>1</v>
      </c>
      <c r="O723">
        <v>1009</v>
      </c>
    </row>
    <row r="724" spans="1:15" x14ac:dyDescent="0.35">
      <c r="A724" s="1">
        <v>46009</v>
      </c>
      <c r="B724" t="s">
        <v>155</v>
      </c>
      <c r="C724" t="s">
        <v>282</v>
      </c>
      <c r="D724" t="s">
        <v>36</v>
      </c>
      <c r="E724">
        <v>86.55</v>
      </c>
      <c r="F724" t="s">
        <v>156</v>
      </c>
      <c r="G724">
        <v>86.55</v>
      </c>
      <c r="H724">
        <v>2025</v>
      </c>
      <c r="I724">
        <v>12</v>
      </c>
      <c r="J724" t="s">
        <v>66</v>
      </c>
      <c r="K724" s="1">
        <v>46009</v>
      </c>
      <c r="L724" t="s">
        <v>23</v>
      </c>
      <c r="M724" t="s">
        <v>39</v>
      </c>
      <c r="N724" t="b">
        <v>0</v>
      </c>
      <c r="O724">
        <v>421</v>
      </c>
    </row>
    <row r="725" spans="1:15" x14ac:dyDescent="0.35">
      <c r="A725" s="1">
        <v>45896</v>
      </c>
      <c r="B725" t="s">
        <v>198</v>
      </c>
      <c r="C725" t="s">
        <v>282</v>
      </c>
      <c r="D725" t="s">
        <v>36</v>
      </c>
      <c r="E725">
        <v>9.3800000000000008</v>
      </c>
      <c r="F725" t="s">
        <v>156</v>
      </c>
      <c r="G725">
        <v>9.3800000000000008</v>
      </c>
      <c r="H725">
        <v>2025</v>
      </c>
      <c r="I725">
        <v>8</v>
      </c>
      <c r="J725" t="s">
        <v>71</v>
      </c>
      <c r="K725" s="1">
        <v>45896</v>
      </c>
      <c r="L725" t="s">
        <v>58</v>
      </c>
      <c r="M725" t="s">
        <v>39</v>
      </c>
      <c r="N725" t="b">
        <v>0</v>
      </c>
      <c r="O725">
        <v>477</v>
      </c>
    </row>
    <row r="726" spans="1:15" x14ac:dyDescent="0.35">
      <c r="A726" s="1">
        <v>45917</v>
      </c>
      <c r="B726" t="s">
        <v>210</v>
      </c>
      <c r="C726" t="s">
        <v>282</v>
      </c>
      <c r="D726" t="s">
        <v>17</v>
      </c>
      <c r="E726">
        <v>-21.67</v>
      </c>
      <c r="F726" t="s">
        <v>156</v>
      </c>
      <c r="G726">
        <v>21.67</v>
      </c>
      <c r="H726">
        <v>2025</v>
      </c>
      <c r="I726">
        <v>9</v>
      </c>
      <c r="J726" t="s">
        <v>30</v>
      </c>
      <c r="K726" s="1">
        <v>45917</v>
      </c>
      <c r="L726" t="s">
        <v>58</v>
      </c>
      <c r="M726" t="s">
        <v>21</v>
      </c>
      <c r="N726" t="b">
        <v>0</v>
      </c>
      <c r="O726">
        <v>591</v>
      </c>
    </row>
    <row r="727" spans="1:15" x14ac:dyDescent="0.35">
      <c r="A727" s="1">
        <v>46052</v>
      </c>
      <c r="B727" t="s">
        <v>194</v>
      </c>
      <c r="C727" t="s">
        <v>282</v>
      </c>
      <c r="D727" t="s">
        <v>36</v>
      </c>
      <c r="E727">
        <v>72</v>
      </c>
      <c r="F727" t="s">
        <v>156</v>
      </c>
      <c r="G727">
        <v>72</v>
      </c>
      <c r="H727">
        <v>2026</v>
      </c>
      <c r="I727">
        <v>1</v>
      </c>
      <c r="J727" t="s">
        <v>24</v>
      </c>
      <c r="K727" s="1">
        <v>46052</v>
      </c>
      <c r="L727" t="s">
        <v>31</v>
      </c>
      <c r="M727" t="s">
        <v>39</v>
      </c>
      <c r="N727" t="b">
        <v>0</v>
      </c>
      <c r="O727">
        <v>544</v>
      </c>
    </row>
    <row r="728" spans="1:15" x14ac:dyDescent="0.35">
      <c r="A728" s="1">
        <v>45864</v>
      </c>
      <c r="B728" t="s">
        <v>196</v>
      </c>
      <c r="C728" t="s">
        <v>282</v>
      </c>
      <c r="D728" t="s">
        <v>36</v>
      </c>
      <c r="E728">
        <v>205.48</v>
      </c>
      <c r="F728" t="s">
        <v>156</v>
      </c>
      <c r="G728">
        <v>205.48</v>
      </c>
      <c r="H728">
        <v>2025</v>
      </c>
      <c r="I728">
        <v>7</v>
      </c>
      <c r="J728" t="s">
        <v>73</v>
      </c>
      <c r="K728" s="1">
        <v>45864</v>
      </c>
      <c r="L728" t="s">
        <v>20</v>
      </c>
      <c r="M728" t="s">
        <v>39</v>
      </c>
      <c r="N728" t="b">
        <v>0</v>
      </c>
      <c r="O728">
        <v>533</v>
      </c>
    </row>
    <row r="729" spans="1:15" x14ac:dyDescent="0.35">
      <c r="A729" s="1">
        <v>45989</v>
      </c>
      <c r="B729" t="s">
        <v>198</v>
      </c>
      <c r="C729" t="s">
        <v>282</v>
      </c>
      <c r="D729" t="s">
        <v>36</v>
      </c>
      <c r="E729">
        <v>233.95</v>
      </c>
      <c r="F729" t="s">
        <v>156</v>
      </c>
      <c r="G729">
        <v>233.95</v>
      </c>
      <c r="H729">
        <v>2025</v>
      </c>
      <c r="I729">
        <v>11</v>
      </c>
      <c r="J729" t="s">
        <v>68</v>
      </c>
      <c r="K729" s="1">
        <v>45989</v>
      </c>
      <c r="L729" t="s">
        <v>31</v>
      </c>
      <c r="M729" t="s">
        <v>39</v>
      </c>
      <c r="N729" t="b">
        <v>0</v>
      </c>
      <c r="O729">
        <v>443</v>
      </c>
    </row>
    <row r="730" spans="1:15" x14ac:dyDescent="0.35">
      <c r="A730" s="1">
        <v>46008</v>
      </c>
      <c r="B730" t="s">
        <v>210</v>
      </c>
      <c r="C730" t="s">
        <v>282</v>
      </c>
      <c r="D730" t="s">
        <v>36</v>
      </c>
      <c r="E730">
        <v>33.520000000000003</v>
      </c>
      <c r="F730" t="s">
        <v>156</v>
      </c>
      <c r="G730">
        <v>33.520000000000003</v>
      </c>
      <c r="H730">
        <v>2025</v>
      </c>
      <c r="I730">
        <v>12</v>
      </c>
      <c r="J730" t="s">
        <v>66</v>
      </c>
      <c r="K730" s="1">
        <v>46008</v>
      </c>
      <c r="L730" t="s">
        <v>58</v>
      </c>
      <c r="M730" t="s">
        <v>39</v>
      </c>
      <c r="N730" t="b">
        <v>0</v>
      </c>
      <c r="O730">
        <v>466</v>
      </c>
    </row>
    <row r="731" spans="1:15" x14ac:dyDescent="0.35">
      <c r="A731" s="1">
        <v>45980</v>
      </c>
      <c r="B731" t="s">
        <v>197</v>
      </c>
      <c r="C731" t="s">
        <v>282</v>
      </c>
      <c r="D731" t="s">
        <v>17</v>
      </c>
      <c r="E731">
        <v>-13.02</v>
      </c>
      <c r="F731" t="s">
        <v>156</v>
      </c>
      <c r="G731">
        <v>13.02</v>
      </c>
      <c r="H731">
        <v>2025</v>
      </c>
      <c r="I731">
        <v>11</v>
      </c>
      <c r="J731" t="s">
        <v>68</v>
      </c>
      <c r="K731" s="1">
        <v>45980</v>
      </c>
      <c r="L731" t="s">
        <v>58</v>
      </c>
      <c r="M731" t="s">
        <v>21</v>
      </c>
      <c r="N731" t="b">
        <v>0</v>
      </c>
      <c r="O731">
        <v>459</v>
      </c>
    </row>
    <row r="732" spans="1:15" x14ac:dyDescent="0.35">
      <c r="A732" s="1">
        <v>45980</v>
      </c>
      <c r="B732" t="s">
        <v>197</v>
      </c>
      <c r="C732" t="s">
        <v>282</v>
      </c>
      <c r="D732" t="s">
        <v>17</v>
      </c>
      <c r="E732">
        <v>-21.63</v>
      </c>
      <c r="F732" t="s">
        <v>156</v>
      </c>
      <c r="G732">
        <v>21.63</v>
      </c>
      <c r="H732">
        <v>2025</v>
      </c>
      <c r="I732">
        <v>11</v>
      </c>
      <c r="J732" t="s">
        <v>68</v>
      </c>
      <c r="K732" s="1">
        <v>45980</v>
      </c>
      <c r="L732" t="s">
        <v>58</v>
      </c>
      <c r="M732" t="s">
        <v>21</v>
      </c>
      <c r="N732" t="b">
        <v>0</v>
      </c>
      <c r="O732">
        <v>460</v>
      </c>
    </row>
    <row r="733" spans="1:15" x14ac:dyDescent="0.35">
      <c r="A733" s="1">
        <v>45886</v>
      </c>
      <c r="B733" t="s">
        <v>201</v>
      </c>
      <c r="C733" t="s">
        <v>282</v>
      </c>
      <c r="D733" t="s">
        <v>36</v>
      </c>
      <c r="E733">
        <v>216.88</v>
      </c>
      <c r="F733" t="s">
        <v>156</v>
      </c>
      <c r="G733">
        <v>216.88</v>
      </c>
      <c r="H733">
        <v>2025</v>
      </c>
      <c r="I733">
        <v>8</v>
      </c>
      <c r="J733" t="s">
        <v>71</v>
      </c>
      <c r="K733" s="1">
        <v>45886</v>
      </c>
      <c r="L733" t="s">
        <v>41</v>
      </c>
      <c r="M733" t="s">
        <v>39</v>
      </c>
      <c r="N733" t="b">
        <v>0</v>
      </c>
      <c r="O733">
        <v>484</v>
      </c>
    </row>
    <row r="734" spans="1:15" x14ac:dyDescent="0.35">
      <c r="A734" s="1">
        <v>45781</v>
      </c>
      <c r="B734" t="s">
        <v>155</v>
      </c>
      <c r="C734" t="s">
        <v>282</v>
      </c>
      <c r="D734" t="s">
        <v>36</v>
      </c>
      <c r="E734">
        <v>234.01</v>
      </c>
      <c r="F734" t="s">
        <v>156</v>
      </c>
      <c r="G734">
        <v>234.01</v>
      </c>
      <c r="H734">
        <v>2025</v>
      </c>
      <c r="I734">
        <v>5</v>
      </c>
      <c r="J734" t="s">
        <v>75</v>
      </c>
      <c r="K734" s="1">
        <v>45781</v>
      </c>
      <c r="L734" t="s">
        <v>41</v>
      </c>
      <c r="M734" t="s">
        <v>39</v>
      </c>
      <c r="N734" t="b">
        <v>0</v>
      </c>
      <c r="O734">
        <v>575</v>
      </c>
    </row>
    <row r="735" spans="1:15" x14ac:dyDescent="0.35">
      <c r="A735" s="1">
        <v>45883</v>
      </c>
      <c r="B735" t="s">
        <v>210</v>
      </c>
      <c r="C735" t="s">
        <v>282</v>
      </c>
      <c r="D735" t="s">
        <v>36</v>
      </c>
      <c r="E735">
        <v>77.430000000000007</v>
      </c>
      <c r="F735" t="s">
        <v>156</v>
      </c>
      <c r="G735">
        <v>77.430000000000007</v>
      </c>
      <c r="H735">
        <v>2025</v>
      </c>
      <c r="I735">
        <v>8</v>
      </c>
      <c r="J735" t="s">
        <v>71</v>
      </c>
      <c r="K735" s="1">
        <v>45883</v>
      </c>
      <c r="L735" t="s">
        <v>23</v>
      </c>
      <c r="M735" t="s">
        <v>39</v>
      </c>
      <c r="N735" t="b">
        <v>0</v>
      </c>
      <c r="O735">
        <v>593</v>
      </c>
    </row>
    <row r="736" spans="1:15" x14ac:dyDescent="0.35">
      <c r="A736" s="1">
        <v>45889</v>
      </c>
      <c r="B736" s="2" t="s">
        <v>561</v>
      </c>
      <c r="C736" t="s">
        <v>178</v>
      </c>
      <c r="D736" t="s">
        <v>36</v>
      </c>
      <c r="E736">
        <v>138.6</v>
      </c>
      <c r="F736" t="s">
        <v>179</v>
      </c>
      <c r="G736">
        <v>138.6</v>
      </c>
      <c r="H736">
        <v>2025</v>
      </c>
      <c r="I736">
        <v>8</v>
      </c>
      <c r="J736" t="s">
        <v>71</v>
      </c>
      <c r="K736" s="1">
        <v>45889</v>
      </c>
      <c r="L736" t="s">
        <v>58</v>
      </c>
      <c r="M736" t="s">
        <v>39</v>
      </c>
      <c r="N736" t="b">
        <v>0</v>
      </c>
      <c r="O736">
        <v>1807</v>
      </c>
    </row>
    <row r="737" spans="1:15" x14ac:dyDescent="0.35">
      <c r="A737" s="1">
        <v>46066</v>
      </c>
      <c r="B737" t="s">
        <v>562</v>
      </c>
      <c r="C737" t="s">
        <v>137</v>
      </c>
      <c r="D737" t="s">
        <v>36</v>
      </c>
      <c r="E737">
        <v>11.22</v>
      </c>
      <c r="F737" t="s">
        <v>189</v>
      </c>
      <c r="G737">
        <v>11.22</v>
      </c>
      <c r="H737">
        <v>2026</v>
      </c>
      <c r="I737">
        <v>2</v>
      </c>
      <c r="J737" t="s">
        <v>19</v>
      </c>
      <c r="K737" s="1">
        <v>46066</v>
      </c>
      <c r="L737" t="s">
        <v>31</v>
      </c>
      <c r="M737" t="s">
        <v>39</v>
      </c>
      <c r="N737" t="b">
        <v>1</v>
      </c>
      <c r="O737">
        <v>1010</v>
      </c>
    </row>
    <row r="738" spans="1:15" x14ac:dyDescent="0.35">
      <c r="A738" s="1">
        <v>46067</v>
      </c>
      <c r="B738" t="s">
        <v>188</v>
      </c>
      <c r="C738" t="s">
        <v>137</v>
      </c>
      <c r="D738" t="s">
        <v>36</v>
      </c>
      <c r="E738">
        <v>6.48</v>
      </c>
      <c r="F738" t="s">
        <v>189</v>
      </c>
      <c r="G738">
        <v>6.48</v>
      </c>
      <c r="H738">
        <v>2026</v>
      </c>
      <c r="I738">
        <v>2</v>
      </c>
      <c r="J738" t="s">
        <v>19</v>
      </c>
      <c r="K738" s="1">
        <v>46067</v>
      </c>
      <c r="L738" t="s">
        <v>20</v>
      </c>
      <c r="M738" t="s">
        <v>39</v>
      </c>
      <c r="N738" t="b">
        <v>1</v>
      </c>
      <c r="O738">
        <v>1011</v>
      </c>
    </row>
    <row r="739" spans="1:15" x14ac:dyDescent="0.35">
      <c r="A739" s="1">
        <v>46066</v>
      </c>
      <c r="B739" t="s">
        <v>467</v>
      </c>
      <c r="C739" t="s">
        <v>137</v>
      </c>
      <c r="D739" t="s">
        <v>36</v>
      </c>
      <c r="E739">
        <v>26.78</v>
      </c>
      <c r="F739" t="s">
        <v>235</v>
      </c>
      <c r="G739">
        <v>26.78</v>
      </c>
      <c r="H739">
        <v>2026</v>
      </c>
      <c r="I739">
        <v>2</v>
      </c>
      <c r="J739" t="s">
        <v>19</v>
      </c>
      <c r="K739" s="1">
        <v>46066</v>
      </c>
      <c r="L739" t="s">
        <v>31</v>
      </c>
      <c r="M739" t="s">
        <v>39</v>
      </c>
      <c r="N739" t="b">
        <v>1</v>
      </c>
      <c r="O739">
        <v>1012</v>
      </c>
    </row>
    <row r="740" spans="1:15" x14ac:dyDescent="0.35">
      <c r="A740" s="1">
        <v>46023</v>
      </c>
      <c r="B740" t="s">
        <v>563</v>
      </c>
      <c r="C740" t="s">
        <v>137</v>
      </c>
      <c r="D740" t="s">
        <v>36</v>
      </c>
      <c r="E740">
        <v>9.2100000000000009</v>
      </c>
      <c r="F740" t="s">
        <v>138</v>
      </c>
      <c r="G740">
        <v>9.2100000000000009</v>
      </c>
      <c r="H740">
        <v>2026</v>
      </c>
      <c r="I740">
        <v>1</v>
      </c>
      <c r="J740" t="s">
        <v>24</v>
      </c>
      <c r="K740" s="1">
        <v>46023</v>
      </c>
      <c r="L740" t="s">
        <v>23</v>
      </c>
      <c r="M740" t="s">
        <v>39</v>
      </c>
      <c r="N740" t="b">
        <v>1</v>
      </c>
      <c r="O740">
        <v>1016</v>
      </c>
    </row>
    <row r="741" spans="1:15" x14ac:dyDescent="0.35">
      <c r="A741" s="1">
        <v>46053</v>
      </c>
      <c r="B741" t="s">
        <v>564</v>
      </c>
      <c r="C741" t="s">
        <v>137</v>
      </c>
      <c r="D741" t="s">
        <v>36</v>
      </c>
      <c r="E741">
        <v>17.149999999999999</v>
      </c>
      <c r="F741" t="s">
        <v>565</v>
      </c>
      <c r="G741">
        <v>17.149999999999999</v>
      </c>
      <c r="H741">
        <v>2026</v>
      </c>
      <c r="I741">
        <v>1</v>
      </c>
      <c r="J741" t="s">
        <v>24</v>
      </c>
      <c r="K741" s="1">
        <v>46053</v>
      </c>
      <c r="L741" t="s">
        <v>20</v>
      </c>
      <c r="M741" t="s">
        <v>39</v>
      </c>
      <c r="N741" t="b">
        <v>1</v>
      </c>
      <c r="O741">
        <v>1017</v>
      </c>
    </row>
    <row r="742" spans="1:15" x14ac:dyDescent="0.35">
      <c r="A742" s="1">
        <v>46033</v>
      </c>
      <c r="B742" t="s">
        <v>454</v>
      </c>
      <c r="C742" t="s">
        <v>137</v>
      </c>
      <c r="D742" t="s">
        <v>36</v>
      </c>
      <c r="E742">
        <v>26.95</v>
      </c>
      <c r="F742" t="s">
        <v>235</v>
      </c>
      <c r="G742">
        <v>26.95</v>
      </c>
      <c r="H742">
        <v>2026</v>
      </c>
      <c r="I742">
        <v>1</v>
      </c>
      <c r="J742" t="s">
        <v>24</v>
      </c>
      <c r="K742" s="1">
        <v>46033</v>
      </c>
      <c r="L742" t="s">
        <v>41</v>
      </c>
      <c r="M742" t="s">
        <v>39</v>
      </c>
      <c r="N742" t="b">
        <v>1</v>
      </c>
      <c r="O742">
        <v>1019</v>
      </c>
    </row>
    <row r="743" spans="1:15" x14ac:dyDescent="0.35">
      <c r="A743" s="1">
        <v>46046</v>
      </c>
      <c r="B743" t="s">
        <v>566</v>
      </c>
      <c r="C743" t="s">
        <v>137</v>
      </c>
      <c r="D743" t="s">
        <v>36</v>
      </c>
      <c r="E743">
        <v>36.81</v>
      </c>
      <c r="F743" t="s">
        <v>567</v>
      </c>
      <c r="G743">
        <v>36.81</v>
      </c>
      <c r="H743">
        <v>2026</v>
      </c>
      <c r="I743">
        <v>1</v>
      </c>
      <c r="J743" t="s">
        <v>24</v>
      </c>
      <c r="K743" s="1">
        <v>46046</v>
      </c>
      <c r="L743" t="s">
        <v>20</v>
      </c>
      <c r="M743" t="s">
        <v>39</v>
      </c>
      <c r="N743" t="b">
        <v>1</v>
      </c>
      <c r="O743">
        <v>1057</v>
      </c>
    </row>
    <row r="744" spans="1:15" x14ac:dyDescent="0.35">
      <c r="A744" s="1">
        <v>46053</v>
      </c>
      <c r="B744" t="s">
        <v>568</v>
      </c>
      <c r="C744" t="s">
        <v>137</v>
      </c>
      <c r="D744" t="s">
        <v>36</v>
      </c>
      <c r="E744">
        <v>7.81</v>
      </c>
      <c r="F744" t="s">
        <v>569</v>
      </c>
      <c r="G744">
        <v>7.81</v>
      </c>
      <c r="H744">
        <v>2026</v>
      </c>
      <c r="I744">
        <v>1</v>
      </c>
      <c r="J744" t="s">
        <v>24</v>
      </c>
      <c r="K744" s="1">
        <v>46053</v>
      </c>
      <c r="L744" t="s">
        <v>20</v>
      </c>
      <c r="M744" t="s">
        <v>39</v>
      </c>
      <c r="N744" t="b">
        <v>1</v>
      </c>
      <c r="O744">
        <v>1055</v>
      </c>
    </row>
    <row r="745" spans="1:15" x14ac:dyDescent="0.35">
      <c r="A745" s="1">
        <v>46047</v>
      </c>
      <c r="B745" t="s">
        <v>557</v>
      </c>
      <c r="C745" t="s">
        <v>137</v>
      </c>
      <c r="D745" t="s">
        <v>36</v>
      </c>
      <c r="E745">
        <v>18.670000000000002</v>
      </c>
      <c r="F745" t="s">
        <v>427</v>
      </c>
      <c r="G745">
        <v>18.670000000000002</v>
      </c>
      <c r="H745">
        <v>2026</v>
      </c>
      <c r="I745">
        <v>1</v>
      </c>
      <c r="J745" t="s">
        <v>24</v>
      </c>
      <c r="K745" s="1">
        <v>46047</v>
      </c>
      <c r="L745" t="s">
        <v>41</v>
      </c>
      <c r="M745" t="s">
        <v>39</v>
      </c>
      <c r="N745" t="b">
        <v>1</v>
      </c>
      <c r="O745">
        <v>1056</v>
      </c>
    </row>
    <row r="746" spans="1:15" x14ac:dyDescent="0.35">
      <c r="A746" s="1">
        <v>46044</v>
      </c>
      <c r="B746" t="s">
        <v>570</v>
      </c>
      <c r="C746" t="s">
        <v>137</v>
      </c>
      <c r="D746" t="s">
        <v>36</v>
      </c>
      <c r="E746">
        <v>19.97</v>
      </c>
      <c r="F746" t="s">
        <v>293</v>
      </c>
      <c r="G746">
        <v>19.97</v>
      </c>
      <c r="H746">
        <v>2026</v>
      </c>
      <c r="I746">
        <v>1</v>
      </c>
      <c r="J746" t="s">
        <v>24</v>
      </c>
      <c r="K746" s="1">
        <v>46044</v>
      </c>
      <c r="L746" t="s">
        <v>23</v>
      </c>
      <c r="M746" t="s">
        <v>39</v>
      </c>
      <c r="N746" t="b">
        <v>1</v>
      </c>
      <c r="O746">
        <v>1058</v>
      </c>
    </row>
    <row r="747" spans="1:15" x14ac:dyDescent="0.35">
      <c r="A747" s="1">
        <v>46038</v>
      </c>
      <c r="B747" t="s">
        <v>571</v>
      </c>
      <c r="C747" t="s">
        <v>137</v>
      </c>
      <c r="D747" t="s">
        <v>36</v>
      </c>
      <c r="E747">
        <v>10.95</v>
      </c>
      <c r="F747" t="s">
        <v>237</v>
      </c>
      <c r="G747">
        <v>10.95</v>
      </c>
      <c r="H747">
        <v>2026</v>
      </c>
      <c r="I747">
        <v>1</v>
      </c>
      <c r="J747" t="s">
        <v>24</v>
      </c>
      <c r="K747" s="1">
        <v>46038</v>
      </c>
      <c r="L747" t="s">
        <v>31</v>
      </c>
      <c r="M747" t="s">
        <v>39</v>
      </c>
      <c r="N747" t="b">
        <v>1</v>
      </c>
      <c r="O747">
        <v>1059</v>
      </c>
    </row>
    <row r="748" spans="1:15" x14ac:dyDescent="0.35">
      <c r="A748" s="1">
        <v>46017</v>
      </c>
      <c r="B748" t="s">
        <v>514</v>
      </c>
      <c r="C748" t="s">
        <v>137</v>
      </c>
      <c r="D748" t="s">
        <v>36</v>
      </c>
      <c r="E748">
        <v>30.39</v>
      </c>
      <c r="F748" t="s">
        <v>237</v>
      </c>
      <c r="G748">
        <v>30.39</v>
      </c>
      <c r="H748">
        <v>2025</v>
      </c>
      <c r="I748">
        <v>12</v>
      </c>
      <c r="J748" t="s">
        <v>66</v>
      </c>
      <c r="K748" s="1">
        <v>46017</v>
      </c>
      <c r="L748" t="s">
        <v>31</v>
      </c>
      <c r="M748" t="s">
        <v>39</v>
      </c>
      <c r="N748" t="b">
        <v>1</v>
      </c>
      <c r="O748">
        <v>1062</v>
      </c>
    </row>
    <row r="749" spans="1:15" x14ac:dyDescent="0.35">
      <c r="A749" s="1">
        <v>46009</v>
      </c>
      <c r="B749" t="s">
        <v>507</v>
      </c>
      <c r="C749" t="s">
        <v>137</v>
      </c>
      <c r="D749" t="s">
        <v>36</v>
      </c>
      <c r="E749">
        <v>12.47</v>
      </c>
      <c r="F749" t="s">
        <v>427</v>
      </c>
      <c r="G749">
        <v>12.47</v>
      </c>
      <c r="H749">
        <v>2025</v>
      </c>
      <c r="I749">
        <v>12</v>
      </c>
      <c r="J749" t="s">
        <v>66</v>
      </c>
      <c r="K749" s="1">
        <v>46009</v>
      </c>
      <c r="L749" t="s">
        <v>23</v>
      </c>
      <c r="M749" t="s">
        <v>39</v>
      </c>
      <c r="N749" t="b">
        <v>1</v>
      </c>
      <c r="O749">
        <v>1063</v>
      </c>
    </row>
    <row r="750" spans="1:15" x14ac:dyDescent="0.35">
      <c r="A750" s="1">
        <v>46033</v>
      </c>
      <c r="B750" t="s">
        <v>572</v>
      </c>
      <c r="C750" t="s">
        <v>137</v>
      </c>
      <c r="D750" t="s">
        <v>36</v>
      </c>
      <c r="E750">
        <v>48.75</v>
      </c>
      <c r="F750" t="s">
        <v>573</v>
      </c>
      <c r="G750">
        <v>48.75</v>
      </c>
      <c r="H750">
        <v>2026</v>
      </c>
      <c r="I750">
        <v>1</v>
      </c>
      <c r="J750" t="s">
        <v>24</v>
      </c>
      <c r="K750" s="1">
        <v>46033</v>
      </c>
      <c r="L750" t="s">
        <v>41</v>
      </c>
      <c r="M750" t="s">
        <v>39</v>
      </c>
      <c r="N750" t="b">
        <v>1</v>
      </c>
      <c r="O750">
        <v>1060</v>
      </c>
    </row>
    <row r="751" spans="1:15" x14ac:dyDescent="0.35">
      <c r="A751" s="1">
        <v>46072</v>
      </c>
      <c r="B751" t="s">
        <v>574</v>
      </c>
      <c r="C751" t="s">
        <v>218</v>
      </c>
      <c r="D751" t="s">
        <v>36</v>
      </c>
      <c r="E751">
        <v>66.69</v>
      </c>
      <c r="F751" t="s">
        <v>575</v>
      </c>
      <c r="G751">
        <v>66.69</v>
      </c>
      <c r="H751">
        <v>2026</v>
      </c>
      <c r="I751">
        <v>2</v>
      </c>
      <c r="J751" t="s">
        <v>19</v>
      </c>
      <c r="K751" s="1">
        <v>46072</v>
      </c>
      <c r="L751" t="s">
        <v>23</v>
      </c>
      <c r="M751" t="s">
        <v>39</v>
      </c>
      <c r="N751" t="b">
        <v>1</v>
      </c>
      <c r="O751">
        <v>985</v>
      </c>
    </row>
    <row r="752" spans="1:15" x14ac:dyDescent="0.35">
      <c r="A752" s="1">
        <v>46101</v>
      </c>
      <c r="B752" t="s">
        <v>222</v>
      </c>
      <c r="C752" t="s">
        <v>218</v>
      </c>
      <c r="D752" t="s">
        <v>36</v>
      </c>
      <c r="E752">
        <v>7.99</v>
      </c>
      <c r="F752" t="s">
        <v>223</v>
      </c>
      <c r="G752">
        <v>7.99</v>
      </c>
      <c r="H752">
        <v>2026</v>
      </c>
      <c r="I752">
        <v>3</v>
      </c>
      <c r="J752" t="s">
        <v>48</v>
      </c>
      <c r="K752" s="1">
        <v>46101</v>
      </c>
      <c r="L752" t="s">
        <v>31</v>
      </c>
      <c r="M752" t="s">
        <v>39</v>
      </c>
      <c r="N752" t="b">
        <v>1</v>
      </c>
      <c r="O752">
        <v>999</v>
      </c>
    </row>
    <row r="753" spans="1:15" x14ac:dyDescent="0.35">
      <c r="A753" s="1">
        <v>46073</v>
      </c>
      <c r="B753" t="s">
        <v>222</v>
      </c>
      <c r="C753" t="s">
        <v>218</v>
      </c>
      <c r="D753" t="s">
        <v>36</v>
      </c>
      <c r="E753">
        <v>7.99</v>
      </c>
      <c r="F753" t="s">
        <v>223</v>
      </c>
      <c r="G753">
        <v>7.99</v>
      </c>
      <c r="H753">
        <v>2026</v>
      </c>
      <c r="I753">
        <v>2</v>
      </c>
      <c r="J753" t="s">
        <v>19</v>
      </c>
      <c r="K753" s="1">
        <v>46073</v>
      </c>
      <c r="L753" t="s">
        <v>31</v>
      </c>
      <c r="M753" t="s">
        <v>39</v>
      </c>
      <c r="N753" t="b">
        <v>1</v>
      </c>
      <c r="O753">
        <v>1000</v>
      </c>
    </row>
    <row r="754" spans="1:15" x14ac:dyDescent="0.35">
      <c r="A754" s="1">
        <v>46013</v>
      </c>
      <c r="B754" t="s">
        <v>576</v>
      </c>
      <c r="C754" t="s">
        <v>218</v>
      </c>
      <c r="D754" t="s">
        <v>36</v>
      </c>
      <c r="E754">
        <v>9.5</v>
      </c>
      <c r="F754" t="s">
        <v>577</v>
      </c>
      <c r="G754">
        <v>9.5</v>
      </c>
      <c r="H754">
        <v>2025</v>
      </c>
      <c r="I754">
        <v>12</v>
      </c>
      <c r="J754" t="s">
        <v>66</v>
      </c>
      <c r="K754" s="1">
        <v>46013</v>
      </c>
      <c r="L754" t="s">
        <v>38</v>
      </c>
      <c r="M754" t="s">
        <v>39</v>
      </c>
      <c r="N754" t="b">
        <v>1</v>
      </c>
      <c r="O754">
        <v>1068</v>
      </c>
    </row>
    <row r="755" spans="1:15" x14ac:dyDescent="0.35">
      <c r="A755" s="1">
        <v>46051</v>
      </c>
      <c r="B755" t="s">
        <v>523</v>
      </c>
      <c r="C755" t="s">
        <v>137</v>
      </c>
      <c r="D755" t="s">
        <v>36</v>
      </c>
      <c r="E755">
        <v>8.02</v>
      </c>
      <c r="F755" t="s">
        <v>189</v>
      </c>
      <c r="G755">
        <v>8.02</v>
      </c>
      <c r="H755">
        <v>2026</v>
      </c>
      <c r="I755">
        <v>1</v>
      </c>
      <c r="J755" t="s">
        <v>24</v>
      </c>
      <c r="K755" s="1">
        <v>46051</v>
      </c>
      <c r="L755" t="s">
        <v>23</v>
      </c>
      <c r="M755" t="s">
        <v>39</v>
      </c>
      <c r="N755" t="b">
        <v>1</v>
      </c>
      <c r="O755">
        <v>1069</v>
      </c>
    </row>
    <row r="756" spans="1:15" x14ac:dyDescent="0.35">
      <c r="A756" s="1">
        <v>46045</v>
      </c>
      <c r="B756" t="s">
        <v>523</v>
      </c>
      <c r="C756" t="s">
        <v>137</v>
      </c>
      <c r="D756" t="s">
        <v>36</v>
      </c>
      <c r="E756">
        <v>8.4499999999999993</v>
      </c>
      <c r="F756" t="s">
        <v>189</v>
      </c>
      <c r="G756">
        <v>8.4499999999999993</v>
      </c>
      <c r="H756">
        <v>2026</v>
      </c>
      <c r="I756">
        <v>1</v>
      </c>
      <c r="J756" t="s">
        <v>24</v>
      </c>
      <c r="K756" s="1">
        <v>46045</v>
      </c>
      <c r="L756" t="s">
        <v>31</v>
      </c>
      <c r="M756" t="s">
        <v>39</v>
      </c>
      <c r="N756" t="b">
        <v>1</v>
      </c>
      <c r="O756">
        <v>1070</v>
      </c>
    </row>
    <row r="757" spans="1:15" x14ac:dyDescent="0.35">
      <c r="A757" s="1">
        <v>46039</v>
      </c>
      <c r="B757" t="s">
        <v>578</v>
      </c>
      <c r="C757" t="s">
        <v>137</v>
      </c>
      <c r="D757" t="s">
        <v>36</v>
      </c>
      <c r="E757">
        <v>5.4</v>
      </c>
      <c r="F757" t="s">
        <v>189</v>
      </c>
      <c r="G757">
        <v>5.4</v>
      </c>
      <c r="H757">
        <v>2026</v>
      </c>
      <c r="I757">
        <v>1</v>
      </c>
      <c r="J757" t="s">
        <v>24</v>
      </c>
      <c r="K757" s="1">
        <v>46039</v>
      </c>
      <c r="L757" t="s">
        <v>20</v>
      </c>
      <c r="M757" t="s">
        <v>39</v>
      </c>
      <c r="N757" t="b">
        <v>1</v>
      </c>
      <c r="O757">
        <v>1071</v>
      </c>
    </row>
    <row r="758" spans="1:15" x14ac:dyDescent="0.35">
      <c r="A758" s="1">
        <v>46039</v>
      </c>
      <c r="B758" t="s">
        <v>188</v>
      </c>
      <c r="C758" t="s">
        <v>137</v>
      </c>
      <c r="D758" t="s">
        <v>36</v>
      </c>
      <c r="E758">
        <v>6.48</v>
      </c>
      <c r="F758" t="s">
        <v>189</v>
      </c>
      <c r="G758">
        <v>6.48</v>
      </c>
      <c r="H758">
        <v>2026</v>
      </c>
      <c r="I758">
        <v>1</v>
      </c>
      <c r="J758" t="s">
        <v>24</v>
      </c>
      <c r="K758" s="1">
        <v>46039</v>
      </c>
      <c r="L758" t="s">
        <v>20</v>
      </c>
      <c r="M758" t="s">
        <v>39</v>
      </c>
      <c r="N758" t="b">
        <v>1</v>
      </c>
      <c r="O758">
        <v>1072</v>
      </c>
    </row>
    <row r="759" spans="1:15" x14ac:dyDescent="0.35">
      <c r="A759" s="1">
        <v>46037</v>
      </c>
      <c r="B759" t="s">
        <v>524</v>
      </c>
      <c r="C759" t="s">
        <v>137</v>
      </c>
      <c r="D759" t="s">
        <v>36</v>
      </c>
      <c r="E759">
        <v>16.34</v>
      </c>
      <c r="F759" t="s">
        <v>189</v>
      </c>
      <c r="G759">
        <v>16.34</v>
      </c>
      <c r="H759">
        <v>2026</v>
      </c>
      <c r="I759">
        <v>1</v>
      </c>
      <c r="J759" t="s">
        <v>24</v>
      </c>
      <c r="K759" s="1">
        <v>46037</v>
      </c>
      <c r="L759" t="s">
        <v>23</v>
      </c>
      <c r="M759" t="s">
        <v>39</v>
      </c>
      <c r="N759" t="b">
        <v>1</v>
      </c>
      <c r="O759">
        <v>1073</v>
      </c>
    </row>
    <row r="760" spans="1:15" x14ac:dyDescent="0.35">
      <c r="A760" s="1">
        <v>46015</v>
      </c>
      <c r="B760" t="s">
        <v>523</v>
      </c>
      <c r="C760" t="s">
        <v>137</v>
      </c>
      <c r="D760" t="s">
        <v>36</v>
      </c>
      <c r="E760">
        <v>8.43</v>
      </c>
      <c r="F760" t="s">
        <v>189</v>
      </c>
      <c r="G760">
        <v>8.43</v>
      </c>
      <c r="H760">
        <v>2025</v>
      </c>
      <c r="I760">
        <v>12</v>
      </c>
      <c r="J760" t="s">
        <v>66</v>
      </c>
      <c r="K760" s="1">
        <v>46015</v>
      </c>
      <c r="L760" t="s">
        <v>58</v>
      </c>
      <c r="M760" t="s">
        <v>39</v>
      </c>
      <c r="N760" t="b">
        <v>1</v>
      </c>
      <c r="O760">
        <v>1074</v>
      </c>
    </row>
    <row r="761" spans="1:15" x14ac:dyDescent="0.35">
      <c r="A761" s="1">
        <v>46041</v>
      </c>
      <c r="B761" t="s">
        <v>579</v>
      </c>
      <c r="C761" t="s">
        <v>137</v>
      </c>
      <c r="D761" t="s">
        <v>36</v>
      </c>
      <c r="E761">
        <v>35.46</v>
      </c>
      <c r="F761" t="s">
        <v>503</v>
      </c>
      <c r="G761">
        <v>35.46</v>
      </c>
      <c r="H761">
        <v>2026</v>
      </c>
      <c r="I761">
        <v>1</v>
      </c>
      <c r="J761" t="s">
        <v>24</v>
      </c>
      <c r="K761" s="1">
        <v>46041</v>
      </c>
      <c r="L761" t="s">
        <v>38</v>
      </c>
      <c r="M761" t="s">
        <v>39</v>
      </c>
      <c r="N761" t="b">
        <v>1</v>
      </c>
      <c r="O761">
        <v>1077</v>
      </c>
    </row>
    <row r="762" spans="1:15" x14ac:dyDescent="0.35">
      <c r="A762" s="1">
        <v>46050</v>
      </c>
      <c r="B762" t="s">
        <v>580</v>
      </c>
      <c r="C762" t="s">
        <v>137</v>
      </c>
      <c r="D762" t="s">
        <v>36</v>
      </c>
      <c r="E762">
        <v>10.7</v>
      </c>
      <c r="F762" t="s">
        <v>228</v>
      </c>
      <c r="G762">
        <v>10.7</v>
      </c>
      <c r="H762">
        <v>2026</v>
      </c>
      <c r="I762">
        <v>1</v>
      </c>
      <c r="J762" t="s">
        <v>24</v>
      </c>
      <c r="K762" s="1">
        <v>46050</v>
      </c>
      <c r="L762" t="s">
        <v>58</v>
      </c>
      <c r="M762" t="s">
        <v>39</v>
      </c>
      <c r="N762" t="b">
        <v>1</v>
      </c>
      <c r="O762">
        <v>1078</v>
      </c>
    </row>
    <row r="763" spans="1:15" x14ac:dyDescent="0.35">
      <c r="A763" s="1">
        <v>46000</v>
      </c>
      <c r="B763" t="s">
        <v>292</v>
      </c>
      <c r="C763" t="s">
        <v>137</v>
      </c>
      <c r="D763" t="s">
        <v>36</v>
      </c>
      <c r="E763">
        <v>23.9</v>
      </c>
      <c r="F763" t="s">
        <v>293</v>
      </c>
      <c r="G763">
        <v>23.9</v>
      </c>
      <c r="H763">
        <v>2025</v>
      </c>
      <c r="I763">
        <v>12</v>
      </c>
      <c r="J763" t="s">
        <v>66</v>
      </c>
      <c r="K763" s="1">
        <v>46000</v>
      </c>
      <c r="L763" t="s">
        <v>50</v>
      </c>
      <c r="M763" t="s">
        <v>39</v>
      </c>
      <c r="N763" t="b">
        <v>1</v>
      </c>
      <c r="O763">
        <v>1080</v>
      </c>
    </row>
    <row r="764" spans="1:15" x14ac:dyDescent="0.35">
      <c r="A764" s="1">
        <v>45993</v>
      </c>
      <c r="B764" t="s">
        <v>292</v>
      </c>
      <c r="C764" t="s">
        <v>137</v>
      </c>
      <c r="D764" t="s">
        <v>36</v>
      </c>
      <c r="E764">
        <v>9.73</v>
      </c>
      <c r="F764" t="s">
        <v>293</v>
      </c>
      <c r="G764">
        <v>9.73</v>
      </c>
      <c r="H764">
        <v>2025</v>
      </c>
      <c r="I764">
        <v>12</v>
      </c>
      <c r="J764" t="s">
        <v>66</v>
      </c>
      <c r="K764" s="1">
        <v>45993</v>
      </c>
      <c r="L764" t="s">
        <v>50</v>
      </c>
      <c r="M764" t="s">
        <v>39</v>
      </c>
      <c r="N764" t="b">
        <v>1</v>
      </c>
      <c r="O764">
        <v>1087</v>
      </c>
    </row>
    <row r="765" spans="1:15" x14ac:dyDescent="0.35">
      <c r="A765" s="1">
        <v>45991</v>
      </c>
      <c r="B765" t="s">
        <v>557</v>
      </c>
      <c r="C765" t="s">
        <v>137</v>
      </c>
      <c r="D765" t="s">
        <v>36</v>
      </c>
      <c r="E765">
        <v>14.72</v>
      </c>
      <c r="F765" t="s">
        <v>427</v>
      </c>
      <c r="G765">
        <v>14.72</v>
      </c>
      <c r="H765">
        <v>2025</v>
      </c>
      <c r="I765">
        <v>11</v>
      </c>
      <c r="J765" t="s">
        <v>68</v>
      </c>
      <c r="K765" s="1">
        <v>45991</v>
      </c>
      <c r="L765" t="s">
        <v>41</v>
      </c>
      <c r="M765" t="s">
        <v>39</v>
      </c>
      <c r="N765" t="b">
        <v>1</v>
      </c>
      <c r="O765">
        <v>1088</v>
      </c>
    </row>
    <row r="766" spans="1:15" x14ac:dyDescent="0.35">
      <c r="A766" s="1">
        <v>45986</v>
      </c>
      <c r="B766" t="s">
        <v>581</v>
      </c>
      <c r="C766" t="s">
        <v>137</v>
      </c>
      <c r="D766" t="s">
        <v>36</v>
      </c>
      <c r="E766">
        <v>61.49</v>
      </c>
      <c r="F766" t="s">
        <v>582</v>
      </c>
      <c r="G766">
        <v>61.49</v>
      </c>
      <c r="H766">
        <v>2025</v>
      </c>
      <c r="I766">
        <v>11</v>
      </c>
      <c r="J766" t="s">
        <v>68</v>
      </c>
      <c r="K766" s="1">
        <v>45986</v>
      </c>
      <c r="L766" t="s">
        <v>50</v>
      </c>
      <c r="M766" t="s">
        <v>39</v>
      </c>
      <c r="N766" t="b">
        <v>1</v>
      </c>
      <c r="O766">
        <v>1089</v>
      </c>
    </row>
    <row r="767" spans="1:15" x14ac:dyDescent="0.35">
      <c r="A767" s="1">
        <v>45984</v>
      </c>
      <c r="B767" t="s">
        <v>583</v>
      </c>
      <c r="C767" t="s">
        <v>137</v>
      </c>
      <c r="D767" t="s">
        <v>36</v>
      </c>
      <c r="E767">
        <v>31.65</v>
      </c>
      <c r="F767" t="s">
        <v>584</v>
      </c>
      <c r="G767">
        <v>31.65</v>
      </c>
      <c r="H767">
        <v>2025</v>
      </c>
      <c r="I767">
        <v>11</v>
      </c>
      <c r="J767" t="s">
        <v>68</v>
      </c>
      <c r="K767" s="1">
        <v>45984</v>
      </c>
      <c r="L767" t="s">
        <v>41</v>
      </c>
      <c r="M767" t="s">
        <v>39</v>
      </c>
      <c r="N767" t="b">
        <v>1</v>
      </c>
      <c r="O767">
        <v>1091</v>
      </c>
    </row>
    <row r="768" spans="1:15" x14ac:dyDescent="0.35">
      <c r="A768" s="1">
        <v>45978</v>
      </c>
      <c r="B768" t="s">
        <v>292</v>
      </c>
      <c r="C768" t="s">
        <v>137</v>
      </c>
      <c r="D768" t="s">
        <v>36</v>
      </c>
      <c r="E768">
        <v>13.4</v>
      </c>
      <c r="F768" t="s">
        <v>293</v>
      </c>
      <c r="G768">
        <v>13.4</v>
      </c>
      <c r="H768">
        <v>2025</v>
      </c>
      <c r="I768">
        <v>11</v>
      </c>
      <c r="J768" t="s">
        <v>68</v>
      </c>
      <c r="K768" s="1">
        <v>45978</v>
      </c>
      <c r="L768" t="s">
        <v>38</v>
      </c>
      <c r="M768" t="s">
        <v>39</v>
      </c>
      <c r="N768" t="b">
        <v>1</v>
      </c>
      <c r="O768">
        <v>1094</v>
      </c>
    </row>
    <row r="769" spans="1:15" x14ac:dyDescent="0.35">
      <c r="A769" s="1">
        <v>45977</v>
      </c>
      <c r="B769" t="s">
        <v>585</v>
      </c>
      <c r="C769" t="s">
        <v>137</v>
      </c>
      <c r="D769" t="s">
        <v>36</v>
      </c>
      <c r="E769">
        <v>28</v>
      </c>
      <c r="F769" t="s">
        <v>586</v>
      </c>
      <c r="G769">
        <v>28</v>
      </c>
      <c r="H769">
        <v>2025</v>
      </c>
      <c r="I769">
        <v>11</v>
      </c>
      <c r="J769" t="s">
        <v>68</v>
      </c>
      <c r="K769" s="1">
        <v>45977</v>
      </c>
      <c r="L769" t="s">
        <v>41</v>
      </c>
      <c r="M769" t="s">
        <v>39</v>
      </c>
      <c r="N769" t="b">
        <v>1</v>
      </c>
      <c r="O769">
        <v>1100</v>
      </c>
    </row>
    <row r="770" spans="1:15" x14ac:dyDescent="0.35">
      <c r="A770" s="1">
        <v>45977</v>
      </c>
      <c r="B770" t="s">
        <v>557</v>
      </c>
      <c r="C770" t="s">
        <v>137</v>
      </c>
      <c r="D770" t="s">
        <v>36</v>
      </c>
      <c r="E770">
        <v>14.72</v>
      </c>
      <c r="F770" t="s">
        <v>427</v>
      </c>
      <c r="G770">
        <v>14.72</v>
      </c>
      <c r="H770">
        <v>2025</v>
      </c>
      <c r="I770">
        <v>11</v>
      </c>
      <c r="J770" t="s">
        <v>68</v>
      </c>
      <c r="K770" s="1">
        <v>45977</v>
      </c>
      <c r="L770" t="s">
        <v>41</v>
      </c>
      <c r="M770" t="s">
        <v>39</v>
      </c>
      <c r="N770" t="b">
        <v>1</v>
      </c>
      <c r="O770">
        <v>1101</v>
      </c>
    </row>
    <row r="771" spans="1:15" x14ac:dyDescent="0.35">
      <c r="A771" s="1">
        <v>45969</v>
      </c>
      <c r="B771" t="s">
        <v>587</v>
      </c>
      <c r="C771" t="s">
        <v>137</v>
      </c>
      <c r="D771" t="s">
        <v>36</v>
      </c>
      <c r="E771">
        <v>14.83</v>
      </c>
      <c r="F771" t="s">
        <v>584</v>
      </c>
      <c r="G771">
        <v>14.83</v>
      </c>
      <c r="H771">
        <v>2025</v>
      </c>
      <c r="I771">
        <v>11</v>
      </c>
      <c r="J771" t="s">
        <v>68</v>
      </c>
      <c r="K771" s="1">
        <v>45969</v>
      </c>
      <c r="L771" t="s">
        <v>20</v>
      </c>
      <c r="M771" t="s">
        <v>39</v>
      </c>
      <c r="N771" t="b">
        <v>1</v>
      </c>
      <c r="O771">
        <v>1103</v>
      </c>
    </row>
    <row r="772" spans="1:15" x14ac:dyDescent="0.35">
      <c r="A772" s="1">
        <v>45968</v>
      </c>
      <c r="B772" t="s">
        <v>294</v>
      </c>
      <c r="C772" t="s">
        <v>137</v>
      </c>
      <c r="D772" t="s">
        <v>36</v>
      </c>
      <c r="E772">
        <v>7.89</v>
      </c>
      <c r="F772" t="s">
        <v>221</v>
      </c>
      <c r="G772">
        <v>7.89</v>
      </c>
      <c r="H772">
        <v>2025</v>
      </c>
      <c r="I772">
        <v>11</v>
      </c>
      <c r="J772" t="s">
        <v>68</v>
      </c>
      <c r="K772" s="1">
        <v>45968</v>
      </c>
      <c r="L772" t="s">
        <v>31</v>
      </c>
      <c r="M772" t="s">
        <v>39</v>
      </c>
      <c r="N772" t="b">
        <v>1</v>
      </c>
      <c r="O772">
        <v>1104</v>
      </c>
    </row>
    <row r="773" spans="1:15" x14ac:dyDescent="0.35">
      <c r="A773" s="1">
        <v>45964</v>
      </c>
      <c r="B773" t="s">
        <v>292</v>
      </c>
      <c r="C773" t="s">
        <v>137</v>
      </c>
      <c r="D773" t="s">
        <v>36</v>
      </c>
      <c r="E773">
        <v>19.23</v>
      </c>
      <c r="F773" t="s">
        <v>293</v>
      </c>
      <c r="G773">
        <v>19.23</v>
      </c>
      <c r="H773">
        <v>2025</v>
      </c>
      <c r="I773">
        <v>11</v>
      </c>
      <c r="J773" t="s">
        <v>68</v>
      </c>
      <c r="K773" s="1">
        <v>45964</v>
      </c>
      <c r="L773" t="s">
        <v>38</v>
      </c>
      <c r="M773" t="s">
        <v>39</v>
      </c>
      <c r="N773" t="b">
        <v>1</v>
      </c>
      <c r="O773">
        <v>1105</v>
      </c>
    </row>
    <row r="774" spans="1:15" x14ac:dyDescent="0.35">
      <c r="A774" s="1">
        <v>45962</v>
      </c>
      <c r="B774" t="s">
        <v>426</v>
      </c>
      <c r="C774" t="s">
        <v>137</v>
      </c>
      <c r="D774" t="s">
        <v>36</v>
      </c>
      <c r="E774">
        <v>18.59</v>
      </c>
      <c r="F774" t="s">
        <v>427</v>
      </c>
      <c r="G774">
        <v>18.59</v>
      </c>
      <c r="H774">
        <v>2025</v>
      </c>
      <c r="I774">
        <v>11</v>
      </c>
      <c r="J774" t="s">
        <v>68</v>
      </c>
      <c r="K774" s="1">
        <v>45962</v>
      </c>
      <c r="L774" t="s">
        <v>20</v>
      </c>
      <c r="M774" t="s">
        <v>39</v>
      </c>
      <c r="N774" t="b">
        <v>1</v>
      </c>
      <c r="O774">
        <v>1106</v>
      </c>
    </row>
    <row r="775" spans="1:15" x14ac:dyDescent="0.35">
      <c r="A775" s="1">
        <v>45961</v>
      </c>
      <c r="B775" t="s">
        <v>426</v>
      </c>
      <c r="C775" t="s">
        <v>137</v>
      </c>
      <c r="D775" t="s">
        <v>36</v>
      </c>
      <c r="E775">
        <v>18.59</v>
      </c>
      <c r="F775" t="s">
        <v>427</v>
      </c>
      <c r="G775">
        <v>18.59</v>
      </c>
      <c r="H775">
        <v>2025</v>
      </c>
      <c r="I775">
        <v>10</v>
      </c>
      <c r="J775" t="s">
        <v>57</v>
      </c>
      <c r="K775" s="1">
        <v>45961</v>
      </c>
      <c r="L775" t="s">
        <v>31</v>
      </c>
      <c r="M775" t="s">
        <v>39</v>
      </c>
      <c r="N775" t="b">
        <v>1</v>
      </c>
      <c r="O775">
        <v>1107</v>
      </c>
    </row>
    <row r="776" spans="1:15" x14ac:dyDescent="0.35">
      <c r="A776" s="1">
        <v>45953</v>
      </c>
      <c r="B776" t="s">
        <v>294</v>
      </c>
      <c r="C776" t="s">
        <v>137</v>
      </c>
      <c r="D776" t="s">
        <v>36</v>
      </c>
      <c r="E776">
        <v>8.32</v>
      </c>
      <c r="F776" t="s">
        <v>221</v>
      </c>
      <c r="G776">
        <v>8.32</v>
      </c>
      <c r="H776">
        <v>2025</v>
      </c>
      <c r="I776">
        <v>10</v>
      </c>
      <c r="J776" t="s">
        <v>57</v>
      </c>
      <c r="K776" s="1">
        <v>45953</v>
      </c>
      <c r="L776" t="s">
        <v>23</v>
      </c>
      <c r="M776" t="s">
        <v>39</v>
      </c>
      <c r="N776" t="b">
        <v>1</v>
      </c>
      <c r="O776">
        <v>1113</v>
      </c>
    </row>
    <row r="777" spans="1:15" x14ac:dyDescent="0.35">
      <c r="A777" s="1">
        <v>45976</v>
      </c>
      <c r="B777" t="s">
        <v>588</v>
      </c>
      <c r="C777" t="s">
        <v>137</v>
      </c>
      <c r="D777" t="s">
        <v>36</v>
      </c>
      <c r="E777">
        <v>13.24</v>
      </c>
      <c r="F777" t="s">
        <v>451</v>
      </c>
      <c r="G777">
        <v>13.24</v>
      </c>
      <c r="H777">
        <v>2025</v>
      </c>
      <c r="I777">
        <v>11</v>
      </c>
      <c r="J777" t="s">
        <v>68</v>
      </c>
      <c r="K777" s="1">
        <v>45976</v>
      </c>
      <c r="L777" t="s">
        <v>20</v>
      </c>
      <c r="M777" t="s">
        <v>39</v>
      </c>
      <c r="N777" t="b">
        <v>1</v>
      </c>
      <c r="O777">
        <v>1114</v>
      </c>
    </row>
    <row r="778" spans="1:15" x14ac:dyDescent="0.35">
      <c r="A778" s="1">
        <v>45997</v>
      </c>
      <c r="B778" t="s">
        <v>188</v>
      </c>
      <c r="C778" t="s">
        <v>137</v>
      </c>
      <c r="D778" t="s">
        <v>36</v>
      </c>
      <c r="E778">
        <v>20.38</v>
      </c>
      <c r="F778" t="s">
        <v>189</v>
      </c>
      <c r="G778">
        <v>20.38</v>
      </c>
      <c r="H778">
        <v>2025</v>
      </c>
      <c r="I778">
        <v>12</v>
      </c>
      <c r="J778" t="s">
        <v>66</v>
      </c>
      <c r="K778" s="1">
        <v>45997</v>
      </c>
      <c r="L778" t="s">
        <v>20</v>
      </c>
      <c r="M778" t="s">
        <v>39</v>
      </c>
      <c r="N778" t="b">
        <v>1</v>
      </c>
      <c r="O778">
        <v>1115</v>
      </c>
    </row>
    <row r="779" spans="1:15" x14ac:dyDescent="0.35">
      <c r="A779" s="1">
        <v>45986</v>
      </c>
      <c r="B779" t="s">
        <v>523</v>
      </c>
      <c r="C779" t="s">
        <v>137</v>
      </c>
      <c r="D779" t="s">
        <v>36</v>
      </c>
      <c r="E779">
        <v>11.79</v>
      </c>
      <c r="F779" t="s">
        <v>189</v>
      </c>
      <c r="G779">
        <v>11.79</v>
      </c>
      <c r="H779">
        <v>2025</v>
      </c>
      <c r="I779">
        <v>11</v>
      </c>
      <c r="J779" t="s">
        <v>68</v>
      </c>
      <c r="K779" s="1">
        <v>45986</v>
      </c>
      <c r="L779" t="s">
        <v>50</v>
      </c>
      <c r="M779" t="s">
        <v>39</v>
      </c>
      <c r="N779" t="b">
        <v>1</v>
      </c>
      <c r="O779">
        <v>1116</v>
      </c>
    </row>
    <row r="780" spans="1:15" x14ac:dyDescent="0.35">
      <c r="A780" s="1">
        <v>45983</v>
      </c>
      <c r="B780" t="s">
        <v>188</v>
      </c>
      <c r="C780" t="s">
        <v>137</v>
      </c>
      <c r="D780" t="s">
        <v>36</v>
      </c>
      <c r="E780">
        <v>19.510000000000002</v>
      </c>
      <c r="F780" t="s">
        <v>189</v>
      </c>
      <c r="G780">
        <v>19.510000000000002</v>
      </c>
      <c r="H780">
        <v>2025</v>
      </c>
      <c r="I780">
        <v>11</v>
      </c>
      <c r="J780" t="s">
        <v>68</v>
      </c>
      <c r="K780" s="1">
        <v>45983</v>
      </c>
      <c r="L780" t="s">
        <v>20</v>
      </c>
      <c r="M780" t="s">
        <v>39</v>
      </c>
      <c r="N780" t="b">
        <v>1</v>
      </c>
      <c r="O780">
        <v>1117</v>
      </c>
    </row>
    <row r="781" spans="1:15" x14ac:dyDescent="0.35">
      <c r="A781" s="1">
        <v>45979</v>
      </c>
      <c r="B781" t="s">
        <v>523</v>
      </c>
      <c r="C781" t="s">
        <v>137</v>
      </c>
      <c r="D781" t="s">
        <v>36</v>
      </c>
      <c r="E781">
        <v>10.18</v>
      </c>
      <c r="F781" t="s">
        <v>189</v>
      </c>
      <c r="G781">
        <v>10.18</v>
      </c>
      <c r="H781">
        <v>2025</v>
      </c>
      <c r="I781">
        <v>11</v>
      </c>
      <c r="J781" t="s">
        <v>68</v>
      </c>
      <c r="K781" s="1">
        <v>45979</v>
      </c>
      <c r="L781" t="s">
        <v>50</v>
      </c>
      <c r="M781" t="s">
        <v>39</v>
      </c>
      <c r="N781" t="b">
        <v>1</v>
      </c>
      <c r="O781">
        <v>1118</v>
      </c>
    </row>
    <row r="782" spans="1:15" x14ac:dyDescent="0.35">
      <c r="A782" s="1">
        <v>45972</v>
      </c>
      <c r="B782" t="s">
        <v>589</v>
      </c>
      <c r="C782" t="s">
        <v>137</v>
      </c>
      <c r="D782" t="s">
        <v>36</v>
      </c>
      <c r="E782">
        <v>12.73</v>
      </c>
      <c r="F782" t="s">
        <v>189</v>
      </c>
      <c r="G782">
        <v>12.73</v>
      </c>
      <c r="H782">
        <v>2025</v>
      </c>
      <c r="I782">
        <v>11</v>
      </c>
      <c r="J782" t="s">
        <v>68</v>
      </c>
      <c r="K782" s="1">
        <v>45972</v>
      </c>
      <c r="L782" t="s">
        <v>50</v>
      </c>
      <c r="M782" t="s">
        <v>39</v>
      </c>
      <c r="N782" t="b">
        <v>1</v>
      </c>
      <c r="O782">
        <v>1119</v>
      </c>
    </row>
    <row r="783" spans="1:15" x14ac:dyDescent="0.35">
      <c r="A783" s="1">
        <v>45972</v>
      </c>
      <c r="B783" t="s">
        <v>590</v>
      </c>
      <c r="C783" t="s">
        <v>137</v>
      </c>
      <c r="D783" t="s">
        <v>36</v>
      </c>
      <c r="E783">
        <v>10.76</v>
      </c>
      <c r="F783" t="s">
        <v>189</v>
      </c>
      <c r="G783">
        <v>10.76</v>
      </c>
      <c r="H783">
        <v>2025</v>
      </c>
      <c r="I783">
        <v>11</v>
      </c>
      <c r="J783" t="s">
        <v>68</v>
      </c>
      <c r="K783" s="1">
        <v>45972</v>
      </c>
      <c r="L783" t="s">
        <v>50</v>
      </c>
      <c r="M783" t="s">
        <v>39</v>
      </c>
      <c r="N783" t="b">
        <v>1</v>
      </c>
      <c r="O783">
        <v>1128</v>
      </c>
    </row>
    <row r="784" spans="1:15" x14ac:dyDescent="0.35">
      <c r="A784" s="1">
        <v>45971</v>
      </c>
      <c r="B784" t="s">
        <v>540</v>
      </c>
      <c r="C784" t="s">
        <v>137</v>
      </c>
      <c r="D784" t="s">
        <v>36</v>
      </c>
      <c r="E784">
        <v>5.6</v>
      </c>
      <c r="F784" t="s">
        <v>189</v>
      </c>
      <c r="G784">
        <v>5.6</v>
      </c>
      <c r="H784">
        <v>2025</v>
      </c>
      <c r="I784">
        <v>11</v>
      </c>
      <c r="J784" t="s">
        <v>68</v>
      </c>
      <c r="K784" s="1">
        <v>45971</v>
      </c>
      <c r="L784" t="s">
        <v>38</v>
      </c>
      <c r="M784" t="s">
        <v>39</v>
      </c>
      <c r="N784" t="b">
        <v>1</v>
      </c>
      <c r="O784">
        <v>1129</v>
      </c>
    </row>
    <row r="785" spans="1:15" x14ac:dyDescent="0.35">
      <c r="A785" s="1">
        <v>45960</v>
      </c>
      <c r="B785" t="s">
        <v>540</v>
      </c>
      <c r="C785" t="s">
        <v>137</v>
      </c>
      <c r="D785" t="s">
        <v>36</v>
      </c>
      <c r="E785">
        <v>10.89</v>
      </c>
      <c r="F785" t="s">
        <v>189</v>
      </c>
      <c r="G785">
        <v>10.89</v>
      </c>
      <c r="H785">
        <v>2025</v>
      </c>
      <c r="I785">
        <v>10</v>
      </c>
      <c r="J785" t="s">
        <v>57</v>
      </c>
      <c r="K785" s="1">
        <v>45960</v>
      </c>
      <c r="L785" t="s">
        <v>23</v>
      </c>
      <c r="M785" t="s">
        <v>39</v>
      </c>
      <c r="N785" t="b">
        <v>1</v>
      </c>
      <c r="O785">
        <v>1130</v>
      </c>
    </row>
    <row r="786" spans="1:15" x14ac:dyDescent="0.35">
      <c r="A786" s="1">
        <v>45956</v>
      </c>
      <c r="B786" t="s">
        <v>560</v>
      </c>
      <c r="C786" t="s">
        <v>137</v>
      </c>
      <c r="D786" t="s">
        <v>36</v>
      </c>
      <c r="E786">
        <v>24.71</v>
      </c>
      <c r="F786" t="s">
        <v>189</v>
      </c>
      <c r="G786">
        <v>24.71</v>
      </c>
      <c r="H786">
        <v>2025</v>
      </c>
      <c r="I786">
        <v>10</v>
      </c>
      <c r="J786" t="s">
        <v>57</v>
      </c>
      <c r="K786" s="1">
        <v>45956</v>
      </c>
      <c r="L786" t="s">
        <v>41</v>
      </c>
      <c r="M786" t="s">
        <v>39</v>
      </c>
      <c r="N786" t="b">
        <v>1</v>
      </c>
      <c r="O786">
        <v>1131</v>
      </c>
    </row>
    <row r="787" spans="1:15" x14ac:dyDescent="0.35">
      <c r="A787" s="1">
        <v>45989</v>
      </c>
      <c r="B787" t="s">
        <v>591</v>
      </c>
      <c r="C787" t="s">
        <v>218</v>
      </c>
      <c r="D787" t="s">
        <v>36</v>
      </c>
      <c r="E787">
        <v>11.68</v>
      </c>
      <c r="F787" t="s">
        <v>592</v>
      </c>
      <c r="G787">
        <v>11.68</v>
      </c>
      <c r="H787">
        <v>2025</v>
      </c>
      <c r="I787">
        <v>11</v>
      </c>
      <c r="J787" t="s">
        <v>68</v>
      </c>
      <c r="K787" s="1">
        <v>45989</v>
      </c>
      <c r="L787" t="s">
        <v>31</v>
      </c>
      <c r="M787" t="s">
        <v>39</v>
      </c>
      <c r="N787" t="b">
        <v>1</v>
      </c>
      <c r="O787">
        <v>1140</v>
      </c>
    </row>
    <row r="788" spans="1:15" x14ac:dyDescent="0.35">
      <c r="A788" s="1">
        <v>45943</v>
      </c>
      <c r="B788" t="s">
        <v>593</v>
      </c>
      <c r="C788" t="s">
        <v>137</v>
      </c>
      <c r="D788" t="s">
        <v>36</v>
      </c>
      <c r="E788">
        <v>10.51</v>
      </c>
      <c r="F788" t="s">
        <v>594</v>
      </c>
      <c r="G788">
        <v>10.51</v>
      </c>
      <c r="H788">
        <v>2025</v>
      </c>
      <c r="I788">
        <v>10</v>
      </c>
      <c r="J788" t="s">
        <v>57</v>
      </c>
      <c r="K788" s="1">
        <v>45943</v>
      </c>
      <c r="L788" t="s">
        <v>38</v>
      </c>
      <c r="M788" t="s">
        <v>39</v>
      </c>
      <c r="N788" t="b">
        <v>1</v>
      </c>
      <c r="O788">
        <v>1143</v>
      </c>
    </row>
    <row r="789" spans="1:15" x14ac:dyDescent="0.35">
      <c r="A789" s="1">
        <v>45944</v>
      </c>
      <c r="B789" t="s">
        <v>593</v>
      </c>
      <c r="C789" t="s">
        <v>137</v>
      </c>
      <c r="D789" t="s">
        <v>36</v>
      </c>
      <c r="E789">
        <v>10.5</v>
      </c>
      <c r="F789" t="s">
        <v>594</v>
      </c>
      <c r="G789">
        <v>10.5</v>
      </c>
      <c r="H789">
        <v>2025</v>
      </c>
      <c r="I789">
        <v>10</v>
      </c>
      <c r="J789" t="s">
        <v>57</v>
      </c>
      <c r="K789" s="1">
        <v>45944</v>
      </c>
      <c r="L789" t="s">
        <v>50</v>
      </c>
      <c r="M789" t="s">
        <v>39</v>
      </c>
      <c r="N789" t="b">
        <v>1</v>
      </c>
      <c r="O789">
        <v>1144</v>
      </c>
    </row>
    <row r="790" spans="1:15" x14ac:dyDescent="0.35">
      <c r="A790" s="1">
        <v>45943</v>
      </c>
      <c r="B790" t="s">
        <v>509</v>
      </c>
      <c r="C790" t="s">
        <v>137</v>
      </c>
      <c r="D790" t="s">
        <v>36</v>
      </c>
      <c r="E790">
        <v>41.13</v>
      </c>
      <c r="F790" t="s">
        <v>510</v>
      </c>
      <c r="G790">
        <v>41.13</v>
      </c>
      <c r="H790">
        <v>2025</v>
      </c>
      <c r="I790">
        <v>10</v>
      </c>
      <c r="J790" t="s">
        <v>57</v>
      </c>
      <c r="K790" s="1">
        <v>45943</v>
      </c>
      <c r="L790" t="s">
        <v>38</v>
      </c>
      <c r="M790" t="s">
        <v>39</v>
      </c>
      <c r="N790" t="b">
        <v>1</v>
      </c>
      <c r="O790">
        <v>1145</v>
      </c>
    </row>
    <row r="791" spans="1:15" x14ac:dyDescent="0.35">
      <c r="A791" s="1">
        <v>45940</v>
      </c>
      <c r="B791" t="s">
        <v>595</v>
      </c>
      <c r="C791" t="s">
        <v>137</v>
      </c>
      <c r="D791" t="s">
        <v>36</v>
      </c>
      <c r="E791">
        <v>10.34</v>
      </c>
      <c r="F791" t="s">
        <v>221</v>
      </c>
      <c r="G791">
        <v>10.34</v>
      </c>
      <c r="H791">
        <v>2025</v>
      </c>
      <c r="I791">
        <v>10</v>
      </c>
      <c r="J791" t="s">
        <v>57</v>
      </c>
      <c r="K791" s="1">
        <v>45940</v>
      </c>
      <c r="L791" t="s">
        <v>31</v>
      </c>
      <c r="M791" t="s">
        <v>39</v>
      </c>
      <c r="N791" t="b">
        <v>1</v>
      </c>
      <c r="O791">
        <v>1150</v>
      </c>
    </row>
    <row r="792" spans="1:15" x14ac:dyDescent="0.35">
      <c r="A792" s="1">
        <v>45937</v>
      </c>
      <c r="B792" t="s">
        <v>596</v>
      </c>
      <c r="C792" t="s">
        <v>137</v>
      </c>
      <c r="D792" t="s">
        <v>36</v>
      </c>
      <c r="E792">
        <v>11.65</v>
      </c>
      <c r="F792" t="s">
        <v>427</v>
      </c>
      <c r="G792">
        <v>11.65</v>
      </c>
      <c r="H792">
        <v>2025</v>
      </c>
      <c r="I792">
        <v>10</v>
      </c>
      <c r="J792" t="s">
        <v>57</v>
      </c>
      <c r="K792" s="1">
        <v>45937</v>
      </c>
      <c r="L792" t="s">
        <v>50</v>
      </c>
      <c r="M792" t="s">
        <v>39</v>
      </c>
      <c r="N792" t="b">
        <v>1</v>
      </c>
      <c r="O792">
        <v>1152</v>
      </c>
    </row>
    <row r="793" spans="1:15" x14ac:dyDescent="0.35">
      <c r="A793" s="1">
        <v>45945</v>
      </c>
      <c r="B793" t="s">
        <v>220</v>
      </c>
      <c r="C793" t="s">
        <v>137</v>
      </c>
      <c r="D793" t="s">
        <v>36</v>
      </c>
      <c r="E793">
        <v>17.12</v>
      </c>
      <c r="F793" t="s">
        <v>221</v>
      </c>
      <c r="G793">
        <v>17.12</v>
      </c>
      <c r="H793">
        <v>2025</v>
      </c>
      <c r="I793">
        <v>10</v>
      </c>
      <c r="J793" t="s">
        <v>57</v>
      </c>
      <c r="K793" s="1">
        <v>45945</v>
      </c>
      <c r="L793" t="s">
        <v>58</v>
      </c>
      <c r="M793" t="s">
        <v>39</v>
      </c>
      <c r="N793" t="b">
        <v>1</v>
      </c>
      <c r="O793">
        <v>1142</v>
      </c>
    </row>
    <row r="794" spans="1:15" x14ac:dyDescent="0.35">
      <c r="A794" s="1">
        <v>45941</v>
      </c>
      <c r="B794" t="s">
        <v>597</v>
      </c>
      <c r="C794" t="s">
        <v>218</v>
      </c>
      <c r="D794" t="s">
        <v>36</v>
      </c>
      <c r="E794">
        <v>9</v>
      </c>
      <c r="F794" t="s">
        <v>598</v>
      </c>
      <c r="G794">
        <v>9</v>
      </c>
      <c r="H794">
        <v>2025</v>
      </c>
      <c r="I794">
        <v>10</v>
      </c>
      <c r="J794" t="s">
        <v>57</v>
      </c>
      <c r="K794" s="1">
        <v>45941</v>
      </c>
      <c r="L794" t="s">
        <v>20</v>
      </c>
      <c r="M794" t="s">
        <v>39</v>
      </c>
      <c r="N794" t="b">
        <v>1</v>
      </c>
      <c r="O794">
        <v>1148</v>
      </c>
    </row>
    <row r="795" spans="1:15" x14ac:dyDescent="0.35">
      <c r="A795" s="1">
        <v>45941</v>
      </c>
      <c r="B795" t="s">
        <v>599</v>
      </c>
      <c r="C795" t="s">
        <v>218</v>
      </c>
      <c r="D795" t="s">
        <v>36</v>
      </c>
      <c r="E795">
        <v>62.5</v>
      </c>
      <c r="F795" t="s">
        <v>600</v>
      </c>
      <c r="G795">
        <v>62.5</v>
      </c>
      <c r="H795">
        <v>2025</v>
      </c>
      <c r="I795">
        <v>10</v>
      </c>
      <c r="J795" t="s">
        <v>57</v>
      </c>
      <c r="K795" s="1">
        <v>45941</v>
      </c>
      <c r="L795" t="s">
        <v>20</v>
      </c>
      <c r="M795" t="s">
        <v>39</v>
      </c>
      <c r="N795" t="b">
        <v>1</v>
      </c>
      <c r="O795">
        <v>1149</v>
      </c>
    </row>
    <row r="796" spans="1:15" x14ac:dyDescent="0.35">
      <c r="A796" s="1">
        <v>45981</v>
      </c>
      <c r="B796" t="s">
        <v>222</v>
      </c>
      <c r="C796" t="s">
        <v>218</v>
      </c>
      <c r="D796" t="s">
        <v>36</v>
      </c>
      <c r="E796">
        <v>7.99</v>
      </c>
      <c r="F796" t="s">
        <v>223</v>
      </c>
      <c r="G796">
        <v>7.99</v>
      </c>
      <c r="H796">
        <v>2025</v>
      </c>
      <c r="I796">
        <v>11</v>
      </c>
      <c r="J796" t="s">
        <v>68</v>
      </c>
      <c r="K796" s="1">
        <v>45981</v>
      </c>
      <c r="L796" t="s">
        <v>23</v>
      </c>
      <c r="M796" t="s">
        <v>39</v>
      </c>
      <c r="N796" t="b">
        <v>1</v>
      </c>
      <c r="O796">
        <v>1110</v>
      </c>
    </row>
    <row r="797" spans="1:15" x14ac:dyDescent="0.35">
      <c r="A797" s="1">
        <v>45926</v>
      </c>
      <c r="B797" t="s">
        <v>292</v>
      </c>
      <c r="C797" t="s">
        <v>137</v>
      </c>
      <c r="D797" t="s">
        <v>36</v>
      </c>
      <c r="E797">
        <v>14.39</v>
      </c>
      <c r="F797" t="s">
        <v>293</v>
      </c>
      <c r="G797">
        <v>14.39</v>
      </c>
      <c r="H797">
        <v>2025</v>
      </c>
      <c r="I797">
        <v>9</v>
      </c>
      <c r="J797" t="s">
        <v>30</v>
      </c>
      <c r="K797" s="1">
        <v>45926</v>
      </c>
      <c r="L797" t="s">
        <v>31</v>
      </c>
      <c r="M797" t="s">
        <v>39</v>
      </c>
      <c r="N797" t="b">
        <v>1</v>
      </c>
      <c r="O797">
        <v>1165</v>
      </c>
    </row>
    <row r="798" spans="1:15" x14ac:dyDescent="0.35">
      <c r="A798" s="1">
        <v>45919</v>
      </c>
      <c r="B798" t="s">
        <v>601</v>
      </c>
      <c r="C798" t="s">
        <v>137</v>
      </c>
      <c r="D798" t="s">
        <v>36</v>
      </c>
      <c r="E798">
        <v>25.24</v>
      </c>
      <c r="F798" t="s">
        <v>602</v>
      </c>
      <c r="G798">
        <v>25.24</v>
      </c>
      <c r="H798">
        <v>2025</v>
      </c>
      <c r="I798">
        <v>9</v>
      </c>
      <c r="J798" t="s">
        <v>30</v>
      </c>
      <c r="K798" s="1">
        <v>45919</v>
      </c>
      <c r="L798" t="s">
        <v>31</v>
      </c>
      <c r="M798" t="s">
        <v>39</v>
      </c>
      <c r="N798" t="b">
        <v>1</v>
      </c>
      <c r="O798">
        <v>1166</v>
      </c>
    </row>
    <row r="799" spans="1:15" x14ac:dyDescent="0.35">
      <c r="A799" s="1">
        <v>45915</v>
      </c>
      <c r="B799" t="s">
        <v>507</v>
      </c>
      <c r="C799" t="s">
        <v>137</v>
      </c>
      <c r="D799" t="s">
        <v>36</v>
      </c>
      <c r="E799">
        <v>14.19</v>
      </c>
      <c r="F799" t="s">
        <v>427</v>
      </c>
      <c r="G799">
        <v>14.19</v>
      </c>
      <c r="H799">
        <v>2025</v>
      </c>
      <c r="I799">
        <v>9</v>
      </c>
      <c r="J799" t="s">
        <v>30</v>
      </c>
      <c r="K799" s="1">
        <v>45915</v>
      </c>
      <c r="L799" t="s">
        <v>38</v>
      </c>
      <c r="M799" t="s">
        <v>39</v>
      </c>
      <c r="N799" t="b">
        <v>1</v>
      </c>
      <c r="O799">
        <v>1167</v>
      </c>
    </row>
    <row r="800" spans="1:15" x14ac:dyDescent="0.35">
      <c r="A800" s="1">
        <v>45907</v>
      </c>
      <c r="B800" t="s">
        <v>557</v>
      </c>
      <c r="C800" t="s">
        <v>137</v>
      </c>
      <c r="D800" t="s">
        <v>36</v>
      </c>
      <c r="E800">
        <v>17.68</v>
      </c>
      <c r="F800" t="s">
        <v>427</v>
      </c>
      <c r="G800">
        <v>17.68</v>
      </c>
      <c r="H800">
        <v>2025</v>
      </c>
      <c r="I800">
        <v>9</v>
      </c>
      <c r="J800" t="s">
        <v>30</v>
      </c>
      <c r="K800" s="1">
        <v>45907</v>
      </c>
      <c r="L800" t="s">
        <v>41</v>
      </c>
      <c r="M800" t="s">
        <v>39</v>
      </c>
      <c r="N800" t="b">
        <v>1</v>
      </c>
      <c r="O800">
        <v>1171</v>
      </c>
    </row>
    <row r="801" spans="1:15" x14ac:dyDescent="0.35">
      <c r="A801" s="1">
        <v>45908</v>
      </c>
      <c r="B801" t="s">
        <v>292</v>
      </c>
      <c r="C801" t="s">
        <v>137</v>
      </c>
      <c r="D801" t="s">
        <v>36</v>
      </c>
      <c r="E801">
        <v>18.71</v>
      </c>
      <c r="F801" t="s">
        <v>293</v>
      </c>
      <c r="G801">
        <v>18.71</v>
      </c>
      <c r="H801">
        <v>2025</v>
      </c>
      <c r="I801">
        <v>9</v>
      </c>
      <c r="J801" t="s">
        <v>30</v>
      </c>
      <c r="K801" s="1">
        <v>45908</v>
      </c>
      <c r="L801" t="s">
        <v>38</v>
      </c>
      <c r="M801" t="s">
        <v>39</v>
      </c>
      <c r="N801" t="b">
        <v>1</v>
      </c>
      <c r="O801">
        <v>1172</v>
      </c>
    </row>
    <row r="802" spans="1:15" x14ac:dyDescent="0.35">
      <c r="A802" s="1">
        <v>45907</v>
      </c>
      <c r="B802" t="s">
        <v>603</v>
      </c>
      <c r="C802" t="s">
        <v>137</v>
      </c>
      <c r="D802" t="s">
        <v>36</v>
      </c>
      <c r="E802">
        <v>8.43</v>
      </c>
      <c r="F802" t="s">
        <v>221</v>
      </c>
      <c r="G802">
        <v>8.43</v>
      </c>
      <c r="H802">
        <v>2025</v>
      </c>
      <c r="I802">
        <v>9</v>
      </c>
      <c r="J802" t="s">
        <v>30</v>
      </c>
      <c r="K802" s="1">
        <v>45907</v>
      </c>
      <c r="L802" t="s">
        <v>41</v>
      </c>
      <c r="M802" t="s">
        <v>39</v>
      </c>
      <c r="N802" t="b">
        <v>1</v>
      </c>
      <c r="O802">
        <v>1173</v>
      </c>
    </row>
    <row r="803" spans="1:15" x14ac:dyDescent="0.35">
      <c r="A803" s="1">
        <v>45905</v>
      </c>
      <c r="B803" t="s">
        <v>535</v>
      </c>
      <c r="C803" t="s">
        <v>137</v>
      </c>
      <c r="D803" t="s">
        <v>36</v>
      </c>
      <c r="E803">
        <v>40.69</v>
      </c>
      <c r="F803" t="s">
        <v>293</v>
      </c>
      <c r="G803">
        <v>40.69</v>
      </c>
      <c r="H803">
        <v>2025</v>
      </c>
      <c r="I803">
        <v>9</v>
      </c>
      <c r="J803" t="s">
        <v>30</v>
      </c>
      <c r="K803" s="1">
        <v>45905</v>
      </c>
      <c r="L803" t="s">
        <v>31</v>
      </c>
      <c r="M803" t="s">
        <v>39</v>
      </c>
      <c r="N803" t="b">
        <v>1</v>
      </c>
      <c r="O803">
        <v>1174</v>
      </c>
    </row>
    <row r="804" spans="1:15" x14ac:dyDescent="0.35">
      <c r="A804" s="1">
        <v>45905</v>
      </c>
      <c r="B804" t="s">
        <v>294</v>
      </c>
      <c r="C804" t="s">
        <v>137</v>
      </c>
      <c r="D804" t="s">
        <v>36</v>
      </c>
      <c r="E804">
        <v>9.08</v>
      </c>
      <c r="F804" t="s">
        <v>221</v>
      </c>
      <c r="G804">
        <v>9.08</v>
      </c>
      <c r="H804">
        <v>2025</v>
      </c>
      <c r="I804">
        <v>9</v>
      </c>
      <c r="J804" t="s">
        <v>30</v>
      </c>
      <c r="K804" s="1">
        <v>45905</v>
      </c>
      <c r="L804" t="s">
        <v>31</v>
      </c>
      <c r="M804" t="s">
        <v>39</v>
      </c>
      <c r="N804" t="b">
        <v>1</v>
      </c>
      <c r="O804">
        <v>1176</v>
      </c>
    </row>
    <row r="805" spans="1:15" x14ac:dyDescent="0.35">
      <c r="A805" s="1">
        <v>45937</v>
      </c>
      <c r="B805" t="s">
        <v>192</v>
      </c>
      <c r="C805" t="s">
        <v>137</v>
      </c>
      <c r="D805" t="s">
        <v>36</v>
      </c>
      <c r="E805">
        <v>6.67</v>
      </c>
      <c r="F805" t="s">
        <v>138</v>
      </c>
      <c r="G805">
        <v>6.67</v>
      </c>
      <c r="H805">
        <v>2025</v>
      </c>
      <c r="I805">
        <v>10</v>
      </c>
      <c r="J805" t="s">
        <v>57</v>
      </c>
      <c r="K805" s="1">
        <v>45937</v>
      </c>
      <c r="L805" t="s">
        <v>50</v>
      </c>
      <c r="M805" t="s">
        <v>39</v>
      </c>
      <c r="N805" t="b">
        <v>1</v>
      </c>
      <c r="O805">
        <v>1179</v>
      </c>
    </row>
    <row r="806" spans="1:15" x14ac:dyDescent="0.35">
      <c r="A806" s="1">
        <v>45942</v>
      </c>
      <c r="B806" t="s">
        <v>452</v>
      </c>
      <c r="C806" t="s">
        <v>137</v>
      </c>
      <c r="D806" t="s">
        <v>36</v>
      </c>
      <c r="E806">
        <v>4.53</v>
      </c>
      <c r="F806" t="s">
        <v>189</v>
      </c>
      <c r="G806">
        <v>4.53</v>
      </c>
      <c r="H806">
        <v>2025</v>
      </c>
      <c r="I806">
        <v>10</v>
      </c>
      <c r="J806" t="s">
        <v>57</v>
      </c>
      <c r="K806" s="1">
        <v>45942</v>
      </c>
      <c r="L806" t="s">
        <v>41</v>
      </c>
      <c r="M806" t="s">
        <v>39</v>
      </c>
      <c r="N806" t="b">
        <v>1</v>
      </c>
      <c r="O806">
        <v>1180</v>
      </c>
    </row>
    <row r="807" spans="1:15" x14ac:dyDescent="0.35">
      <c r="A807" s="1">
        <v>45922</v>
      </c>
      <c r="B807" t="s">
        <v>540</v>
      </c>
      <c r="C807" t="s">
        <v>137</v>
      </c>
      <c r="D807" t="s">
        <v>36</v>
      </c>
      <c r="E807">
        <v>10.23</v>
      </c>
      <c r="F807" t="s">
        <v>189</v>
      </c>
      <c r="G807">
        <v>10.23</v>
      </c>
      <c r="H807">
        <v>2025</v>
      </c>
      <c r="I807">
        <v>9</v>
      </c>
      <c r="J807" t="s">
        <v>30</v>
      </c>
      <c r="K807" s="1">
        <v>45922</v>
      </c>
      <c r="L807" t="s">
        <v>38</v>
      </c>
      <c r="M807" t="s">
        <v>39</v>
      </c>
      <c r="N807" t="b">
        <v>1</v>
      </c>
      <c r="O807">
        <v>1183</v>
      </c>
    </row>
    <row r="808" spans="1:15" x14ac:dyDescent="0.35">
      <c r="A808" s="1">
        <v>45914</v>
      </c>
      <c r="B808" t="s">
        <v>560</v>
      </c>
      <c r="C808" t="s">
        <v>137</v>
      </c>
      <c r="D808" t="s">
        <v>36</v>
      </c>
      <c r="E808">
        <v>21.78</v>
      </c>
      <c r="F808" t="s">
        <v>189</v>
      </c>
      <c r="G808">
        <v>21.78</v>
      </c>
      <c r="H808">
        <v>2025</v>
      </c>
      <c r="I808">
        <v>9</v>
      </c>
      <c r="J808" t="s">
        <v>30</v>
      </c>
      <c r="K808" s="1">
        <v>45914</v>
      </c>
      <c r="L808" t="s">
        <v>41</v>
      </c>
      <c r="M808" t="s">
        <v>39</v>
      </c>
      <c r="N808" t="b">
        <v>1</v>
      </c>
      <c r="O808">
        <v>1184</v>
      </c>
    </row>
    <row r="809" spans="1:15" x14ac:dyDescent="0.35">
      <c r="A809" s="1">
        <v>45904</v>
      </c>
      <c r="B809" t="s">
        <v>604</v>
      </c>
      <c r="C809" t="s">
        <v>137</v>
      </c>
      <c r="D809" t="s">
        <v>36</v>
      </c>
      <c r="E809">
        <v>13.6</v>
      </c>
      <c r="F809" t="s">
        <v>189</v>
      </c>
      <c r="G809">
        <v>13.6</v>
      </c>
      <c r="H809">
        <v>2025</v>
      </c>
      <c r="I809">
        <v>9</v>
      </c>
      <c r="J809" t="s">
        <v>30</v>
      </c>
      <c r="K809" s="1">
        <v>45904</v>
      </c>
      <c r="L809" t="s">
        <v>23</v>
      </c>
      <c r="M809" t="s">
        <v>39</v>
      </c>
      <c r="N809" t="b">
        <v>1</v>
      </c>
      <c r="O809">
        <v>1185</v>
      </c>
    </row>
    <row r="810" spans="1:15" x14ac:dyDescent="0.35">
      <c r="A810" s="1">
        <v>45933</v>
      </c>
      <c r="B810" t="s">
        <v>225</v>
      </c>
      <c r="C810" t="s">
        <v>218</v>
      </c>
      <c r="D810" t="s">
        <v>36</v>
      </c>
      <c r="E810">
        <v>14.07</v>
      </c>
      <c r="F810" t="s">
        <v>226</v>
      </c>
      <c r="G810">
        <v>14.07</v>
      </c>
      <c r="H810">
        <v>2025</v>
      </c>
      <c r="I810">
        <v>10</v>
      </c>
      <c r="J810" t="s">
        <v>57</v>
      </c>
      <c r="K810" s="1">
        <v>45933</v>
      </c>
      <c r="L810" t="s">
        <v>31</v>
      </c>
      <c r="M810" t="s">
        <v>39</v>
      </c>
      <c r="N810" t="b">
        <v>1</v>
      </c>
      <c r="O810">
        <v>1188</v>
      </c>
    </row>
    <row r="811" spans="1:15" x14ac:dyDescent="0.35">
      <c r="A811" s="1">
        <v>45933</v>
      </c>
      <c r="B811" t="s">
        <v>225</v>
      </c>
      <c r="C811" t="s">
        <v>218</v>
      </c>
      <c r="D811" t="s">
        <v>36</v>
      </c>
      <c r="E811">
        <v>21</v>
      </c>
      <c r="F811" t="s">
        <v>226</v>
      </c>
      <c r="G811">
        <v>21</v>
      </c>
      <c r="H811">
        <v>2025</v>
      </c>
      <c r="I811">
        <v>10</v>
      </c>
      <c r="J811" t="s">
        <v>57</v>
      </c>
      <c r="K811" s="1">
        <v>45933</v>
      </c>
      <c r="L811" t="s">
        <v>31</v>
      </c>
      <c r="M811" t="s">
        <v>39</v>
      </c>
      <c r="N811" t="b">
        <v>1</v>
      </c>
      <c r="O811">
        <v>1189</v>
      </c>
    </row>
    <row r="812" spans="1:15" x14ac:dyDescent="0.35">
      <c r="A812" s="1">
        <v>45901</v>
      </c>
      <c r="B812" t="s">
        <v>225</v>
      </c>
      <c r="C812" t="s">
        <v>218</v>
      </c>
      <c r="D812" t="s">
        <v>36</v>
      </c>
      <c r="E812">
        <v>25.5</v>
      </c>
      <c r="F812" t="s">
        <v>226</v>
      </c>
      <c r="G812">
        <v>25.5</v>
      </c>
      <c r="H812">
        <v>2025</v>
      </c>
      <c r="I812">
        <v>9</v>
      </c>
      <c r="J812" t="s">
        <v>30</v>
      </c>
      <c r="K812" s="1">
        <v>45901</v>
      </c>
      <c r="L812" t="s">
        <v>38</v>
      </c>
      <c r="M812" t="s">
        <v>39</v>
      </c>
      <c r="N812" t="b">
        <v>1</v>
      </c>
      <c r="O812">
        <v>1190</v>
      </c>
    </row>
    <row r="813" spans="1:15" x14ac:dyDescent="0.35">
      <c r="A813" s="1">
        <v>45901</v>
      </c>
      <c r="B813" t="s">
        <v>225</v>
      </c>
      <c r="C813" t="s">
        <v>218</v>
      </c>
      <c r="D813" t="s">
        <v>36</v>
      </c>
      <c r="E813">
        <v>26.52</v>
      </c>
      <c r="F813" t="s">
        <v>226</v>
      </c>
      <c r="G813">
        <v>26.52</v>
      </c>
      <c r="H813">
        <v>2025</v>
      </c>
      <c r="I813">
        <v>9</v>
      </c>
      <c r="J813" t="s">
        <v>30</v>
      </c>
      <c r="K813" s="1">
        <v>45901</v>
      </c>
      <c r="L813" t="s">
        <v>38</v>
      </c>
      <c r="M813" t="s">
        <v>39</v>
      </c>
      <c r="N813" t="b">
        <v>1</v>
      </c>
      <c r="O813">
        <v>1191</v>
      </c>
    </row>
    <row r="814" spans="1:15" x14ac:dyDescent="0.35">
      <c r="A814" s="1">
        <v>45901</v>
      </c>
      <c r="B814" t="s">
        <v>454</v>
      </c>
      <c r="C814" t="s">
        <v>137</v>
      </c>
      <c r="D814" t="s">
        <v>36</v>
      </c>
      <c r="E814">
        <v>39.659999999999997</v>
      </c>
      <c r="F814" t="s">
        <v>235</v>
      </c>
      <c r="G814">
        <v>39.659999999999997</v>
      </c>
      <c r="H814">
        <v>2025</v>
      </c>
      <c r="I814">
        <v>9</v>
      </c>
      <c r="J814" t="s">
        <v>30</v>
      </c>
      <c r="K814" s="1">
        <v>45901</v>
      </c>
      <c r="L814" t="s">
        <v>38</v>
      </c>
      <c r="M814" t="s">
        <v>39</v>
      </c>
      <c r="N814" t="b">
        <v>1</v>
      </c>
      <c r="O814">
        <v>1194</v>
      </c>
    </row>
    <row r="815" spans="1:15" x14ac:dyDescent="0.35">
      <c r="A815" s="1">
        <v>45892</v>
      </c>
      <c r="B815" t="s">
        <v>596</v>
      </c>
      <c r="C815" t="s">
        <v>137</v>
      </c>
      <c r="D815" t="s">
        <v>36</v>
      </c>
      <c r="E815">
        <v>14.13</v>
      </c>
      <c r="F815" t="s">
        <v>427</v>
      </c>
      <c r="G815">
        <v>14.13</v>
      </c>
      <c r="H815">
        <v>2025</v>
      </c>
      <c r="I815">
        <v>8</v>
      </c>
      <c r="J815" t="s">
        <v>71</v>
      </c>
      <c r="K815" s="1">
        <v>45892</v>
      </c>
      <c r="L815" t="s">
        <v>20</v>
      </c>
      <c r="M815" t="s">
        <v>39</v>
      </c>
      <c r="N815" t="b">
        <v>1</v>
      </c>
      <c r="O815">
        <v>1200</v>
      </c>
    </row>
    <row r="816" spans="1:15" x14ac:dyDescent="0.35">
      <c r="A816" s="1">
        <v>45890</v>
      </c>
      <c r="B816" t="s">
        <v>596</v>
      </c>
      <c r="C816" t="s">
        <v>137</v>
      </c>
      <c r="D816" t="s">
        <v>36</v>
      </c>
      <c r="E816">
        <v>17.36</v>
      </c>
      <c r="F816" t="s">
        <v>427</v>
      </c>
      <c r="G816">
        <v>17.36</v>
      </c>
      <c r="H816">
        <v>2025</v>
      </c>
      <c r="I816">
        <v>8</v>
      </c>
      <c r="J816" t="s">
        <v>71</v>
      </c>
      <c r="K816" s="1">
        <v>45890</v>
      </c>
      <c r="L816" t="s">
        <v>23</v>
      </c>
      <c r="M816" t="s">
        <v>39</v>
      </c>
      <c r="N816" t="b">
        <v>1</v>
      </c>
      <c r="O816">
        <v>1201</v>
      </c>
    </row>
    <row r="817" spans="1:15" x14ac:dyDescent="0.35">
      <c r="A817" s="1">
        <v>45890</v>
      </c>
      <c r="B817" t="s">
        <v>292</v>
      </c>
      <c r="C817" t="s">
        <v>137</v>
      </c>
      <c r="D817" t="s">
        <v>36</v>
      </c>
      <c r="E817">
        <v>15.87</v>
      </c>
      <c r="F817" t="s">
        <v>293</v>
      </c>
      <c r="G817">
        <v>15.87</v>
      </c>
      <c r="H817">
        <v>2025</v>
      </c>
      <c r="I817">
        <v>8</v>
      </c>
      <c r="J817" t="s">
        <v>71</v>
      </c>
      <c r="K817" s="1">
        <v>45890</v>
      </c>
      <c r="L817" t="s">
        <v>23</v>
      </c>
      <c r="M817" t="s">
        <v>39</v>
      </c>
      <c r="N817" t="b">
        <v>1</v>
      </c>
      <c r="O817">
        <v>1202</v>
      </c>
    </row>
    <row r="818" spans="1:15" x14ac:dyDescent="0.35">
      <c r="A818" s="1">
        <v>45885</v>
      </c>
      <c r="B818" t="s">
        <v>596</v>
      </c>
      <c r="C818" t="s">
        <v>137</v>
      </c>
      <c r="D818" t="s">
        <v>36</v>
      </c>
      <c r="E818">
        <v>8.6300000000000008</v>
      </c>
      <c r="F818" t="s">
        <v>427</v>
      </c>
      <c r="G818">
        <v>8.6300000000000008</v>
      </c>
      <c r="H818">
        <v>2025</v>
      </c>
      <c r="I818">
        <v>8</v>
      </c>
      <c r="J818" t="s">
        <v>71</v>
      </c>
      <c r="K818" s="1">
        <v>45885</v>
      </c>
      <c r="L818" t="s">
        <v>20</v>
      </c>
      <c r="M818" t="s">
        <v>39</v>
      </c>
      <c r="N818" t="b">
        <v>1</v>
      </c>
      <c r="O818">
        <v>1204</v>
      </c>
    </row>
    <row r="819" spans="1:15" x14ac:dyDescent="0.35">
      <c r="A819" s="1">
        <v>45881</v>
      </c>
      <c r="B819" t="s">
        <v>605</v>
      </c>
      <c r="C819" t="s">
        <v>137</v>
      </c>
      <c r="D819" t="s">
        <v>36</v>
      </c>
      <c r="E819">
        <v>15</v>
      </c>
      <c r="F819" t="s">
        <v>606</v>
      </c>
      <c r="G819">
        <v>15</v>
      </c>
      <c r="H819">
        <v>2025</v>
      </c>
      <c r="I819">
        <v>8</v>
      </c>
      <c r="J819" t="s">
        <v>71</v>
      </c>
      <c r="K819" s="1">
        <v>45881</v>
      </c>
      <c r="L819" t="s">
        <v>50</v>
      </c>
      <c r="M819" t="s">
        <v>39</v>
      </c>
      <c r="N819" t="b">
        <v>1</v>
      </c>
      <c r="O819">
        <v>1209</v>
      </c>
    </row>
    <row r="820" spans="1:15" x14ac:dyDescent="0.35">
      <c r="A820" s="1">
        <v>45880</v>
      </c>
      <c r="B820" t="s">
        <v>443</v>
      </c>
      <c r="C820" t="s">
        <v>218</v>
      </c>
      <c r="D820" t="s">
        <v>36</v>
      </c>
      <c r="E820">
        <v>87.05</v>
      </c>
      <c r="F820" t="s">
        <v>443</v>
      </c>
      <c r="G820">
        <v>87.05</v>
      </c>
      <c r="H820">
        <v>2025</v>
      </c>
      <c r="I820">
        <v>8</v>
      </c>
      <c r="J820" t="s">
        <v>71</v>
      </c>
      <c r="K820" s="1">
        <v>45880</v>
      </c>
      <c r="L820" t="s">
        <v>38</v>
      </c>
      <c r="M820" t="s">
        <v>39</v>
      </c>
      <c r="N820" t="b">
        <v>1</v>
      </c>
      <c r="O820">
        <v>1215</v>
      </c>
    </row>
    <row r="821" spans="1:15" x14ac:dyDescent="0.35">
      <c r="A821" s="1">
        <v>45879</v>
      </c>
      <c r="B821" t="s">
        <v>443</v>
      </c>
      <c r="C821" t="s">
        <v>218</v>
      </c>
      <c r="D821" t="s">
        <v>17</v>
      </c>
      <c r="E821">
        <v>-20.69</v>
      </c>
      <c r="F821" t="s">
        <v>443</v>
      </c>
      <c r="G821">
        <v>20.69</v>
      </c>
      <c r="H821">
        <v>2025</v>
      </c>
      <c r="I821">
        <v>8</v>
      </c>
      <c r="J821" t="s">
        <v>71</v>
      </c>
      <c r="K821" s="1">
        <v>45879</v>
      </c>
      <c r="L821" t="s">
        <v>41</v>
      </c>
      <c r="M821" t="s">
        <v>21</v>
      </c>
      <c r="N821" t="b">
        <v>1</v>
      </c>
      <c r="O821">
        <v>1217</v>
      </c>
    </row>
    <row r="822" spans="1:15" x14ac:dyDescent="0.35">
      <c r="A822" s="1">
        <v>45879</v>
      </c>
      <c r="B822" t="s">
        <v>443</v>
      </c>
      <c r="C822" t="s">
        <v>218</v>
      </c>
      <c r="D822" t="s">
        <v>17</v>
      </c>
      <c r="E822">
        <v>-10.88</v>
      </c>
      <c r="F822" t="s">
        <v>443</v>
      </c>
      <c r="G822">
        <v>10.88</v>
      </c>
      <c r="H822">
        <v>2025</v>
      </c>
      <c r="I822">
        <v>8</v>
      </c>
      <c r="J822" t="s">
        <v>71</v>
      </c>
      <c r="K822" s="1">
        <v>45879</v>
      </c>
      <c r="L822" t="s">
        <v>41</v>
      </c>
      <c r="M822" t="s">
        <v>21</v>
      </c>
      <c r="N822" t="b">
        <v>1</v>
      </c>
      <c r="O822">
        <v>1218</v>
      </c>
    </row>
    <row r="823" spans="1:15" x14ac:dyDescent="0.35">
      <c r="A823" s="1">
        <v>45873</v>
      </c>
      <c r="B823" t="s">
        <v>443</v>
      </c>
      <c r="C823" t="s">
        <v>218</v>
      </c>
      <c r="D823" t="s">
        <v>36</v>
      </c>
      <c r="E823">
        <v>176.4</v>
      </c>
      <c r="F823" t="s">
        <v>443</v>
      </c>
      <c r="G823">
        <v>176.4</v>
      </c>
      <c r="H823">
        <v>2025</v>
      </c>
      <c r="I823">
        <v>8</v>
      </c>
      <c r="J823" t="s">
        <v>71</v>
      </c>
      <c r="K823" s="1">
        <v>45873</v>
      </c>
      <c r="L823" t="s">
        <v>38</v>
      </c>
      <c r="M823" t="s">
        <v>39</v>
      </c>
      <c r="N823" t="b">
        <v>1</v>
      </c>
      <c r="O823">
        <v>1223</v>
      </c>
    </row>
    <row r="824" spans="1:15" x14ac:dyDescent="0.35">
      <c r="A824" s="1">
        <v>45868</v>
      </c>
      <c r="B824" t="s">
        <v>596</v>
      </c>
      <c r="C824" t="s">
        <v>137</v>
      </c>
      <c r="D824" t="s">
        <v>36</v>
      </c>
      <c r="E824">
        <v>5.4</v>
      </c>
      <c r="F824" t="s">
        <v>427</v>
      </c>
      <c r="G824">
        <v>5.4</v>
      </c>
      <c r="H824">
        <v>2025</v>
      </c>
      <c r="I824">
        <v>7</v>
      </c>
      <c r="J824" t="s">
        <v>73</v>
      </c>
      <c r="K824" s="1">
        <v>45868</v>
      </c>
      <c r="L824" t="s">
        <v>58</v>
      </c>
      <c r="M824" t="s">
        <v>39</v>
      </c>
      <c r="N824" t="b">
        <v>1</v>
      </c>
      <c r="O824">
        <v>1224</v>
      </c>
    </row>
    <row r="825" spans="1:15" x14ac:dyDescent="0.35">
      <c r="A825" s="1">
        <v>45867</v>
      </c>
      <c r="B825" t="s">
        <v>607</v>
      </c>
      <c r="C825" t="s">
        <v>137</v>
      </c>
      <c r="D825" t="s">
        <v>36</v>
      </c>
      <c r="E825">
        <v>10.72</v>
      </c>
      <c r="F825" t="s">
        <v>608</v>
      </c>
      <c r="G825">
        <v>10.72</v>
      </c>
      <c r="H825">
        <v>2025</v>
      </c>
      <c r="I825">
        <v>7</v>
      </c>
      <c r="J825" t="s">
        <v>73</v>
      </c>
      <c r="K825" s="1">
        <v>45867</v>
      </c>
      <c r="L825" t="s">
        <v>50</v>
      </c>
      <c r="M825" t="s">
        <v>39</v>
      </c>
      <c r="N825" t="b">
        <v>1</v>
      </c>
      <c r="O825">
        <v>1227</v>
      </c>
    </row>
    <row r="826" spans="1:15" x14ac:dyDescent="0.35">
      <c r="A826" s="1">
        <v>45865</v>
      </c>
      <c r="B826" t="s">
        <v>557</v>
      </c>
      <c r="C826" t="s">
        <v>137</v>
      </c>
      <c r="D826" t="s">
        <v>36</v>
      </c>
      <c r="E826">
        <v>17.68</v>
      </c>
      <c r="F826" t="s">
        <v>427</v>
      </c>
      <c r="G826">
        <v>17.68</v>
      </c>
      <c r="H826">
        <v>2025</v>
      </c>
      <c r="I826">
        <v>7</v>
      </c>
      <c r="J826" t="s">
        <v>73</v>
      </c>
      <c r="K826" s="1">
        <v>45865</v>
      </c>
      <c r="L826" t="s">
        <v>41</v>
      </c>
      <c r="M826" t="s">
        <v>39</v>
      </c>
      <c r="N826" t="b">
        <v>1</v>
      </c>
      <c r="O826">
        <v>1228</v>
      </c>
    </row>
    <row r="827" spans="1:15" x14ac:dyDescent="0.35">
      <c r="A827" s="1">
        <v>45862</v>
      </c>
      <c r="B827" t="s">
        <v>292</v>
      </c>
      <c r="C827" t="s">
        <v>137</v>
      </c>
      <c r="D827" t="s">
        <v>36</v>
      </c>
      <c r="E827">
        <v>19.12</v>
      </c>
      <c r="F827" t="s">
        <v>293</v>
      </c>
      <c r="G827">
        <v>19.12</v>
      </c>
      <c r="H827">
        <v>2025</v>
      </c>
      <c r="I827">
        <v>7</v>
      </c>
      <c r="J827" t="s">
        <v>73</v>
      </c>
      <c r="K827" s="1">
        <v>45862</v>
      </c>
      <c r="L827" t="s">
        <v>23</v>
      </c>
      <c r="M827" t="s">
        <v>39</v>
      </c>
      <c r="N827" t="b">
        <v>1</v>
      </c>
      <c r="O827">
        <v>1229</v>
      </c>
    </row>
    <row r="828" spans="1:15" x14ac:dyDescent="0.35">
      <c r="A828" s="1">
        <v>45857</v>
      </c>
      <c r="B828" t="s">
        <v>609</v>
      </c>
      <c r="C828" t="s">
        <v>137</v>
      </c>
      <c r="D828" t="s">
        <v>36</v>
      </c>
      <c r="E828">
        <v>15.87</v>
      </c>
      <c r="F828" t="s">
        <v>609</v>
      </c>
      <c r="G828">
        <v>15.87</v>
      </c>
      <c r="H828">
        <v>2025</v>
      </c>
      <c r="I828">
        <v>7</v>
      </c>
      <c r="J828" t="s">
        <v>73</v>
      </c>
      <c r="K828" s="1">
        <v>45857</v>
      </c>
      <c r="L828" t="s">
        <v>20</v>
      </c>
      <c r="M828" t="s">
        <v>39</v>
      </c>
      <c r="N828" t="b">
        <v>1</v>
      </c>
      <c r="O828">
        <v>1231</v>
      </c>
    </row>
    <row r="829" spans="1:15" x14ac:dyDescent="0.35">
      <c r="A829" s="1">
        <v>45858</v>
      </c>
      <c r="B829" t="s">
        <v>553</v>
      </c>
      <c r="C829" t="s">
        <v>218</v>
      </c>
      <c r="D829" t="s">
        <v>36</v>
      </c>
      <c r="E829">
        <v>159</v>
      </c>
      <c r="F829" t="s">
        <v>553</v>
      </c>
      <c r="G829">
        <v>159</v>
      </c>
      <c r="H829">
        <v>2025</v>
      </c>
      <c r="I829">
        <v>7</v>
      </c>
      <c r="J829" t="s">
        <v>73</v>
      </c>
      <c r="K829" s="1">
        <v>45858</v>
      </c>
      <c r="L829" t="s">
        <v>41</v>
      </c>
      <c r="M829" t="s">
        <v>39</v>
      </c>
      <c r="N829" t="b">
        <v>1</v>
      </c>
      <c r="O829">
        <v>1233</v>
      </c>
    </row>
    <row r="830" spans="1:15" x14ac:dyDescent="0.35">
      <c r="A830" s="1">
        <v>45856</v>
      </c>
      <c r="B830" t="s">
        <v>610</v>
      </c>
      <c r="C830" t="s">
        <v>218</v>
      </c>
      <c r="D830" t="s">
        <v>36</v>
      </c>
      <c r="E830">
        <v>30</v>
      </c>
      <c r="F830" t="s">
        <v>611</v>
      </c>
      <c r="G830">
        <v>30</v>
      </c>
      <c r="H830">
        <v>2025</v>
      </c>
      <c r="I830">
        <v>7</v>
      </c>
      <c r="J830" t="s">
        <v>73</v>
      </c>
      <c r="K830" s="1">
        <v>45856</v>
      </c>
      <c r="L830" t="s">
        <v>31</v>
      </c>
      <c r="M830" t="s">
        <v>39</v>
      </c>
      <c r="N830" t="b">
        <v>1</v>
      </c>
      <c r="O830">
        <v>1234</v>
      </c>
    </row>
    <row r="831" spans="1:15" x14ac:dyDescent="0.35">
      <c r="A831" s="1">
        <v>45855</v>
      </c>
      <c r="B831" t="s">
        <v>294</v>
      </c>
      <c r="C831" t="s">
        <v>137</v>
      </c>
      <c r="D831" t="s">
        <v>36</v>
      </c>
      <c r="E831">
        <v>8.27</v>
      </c>
      <c r="F831" t="s">
        <v>221</v>
      </c>
      <c r="G831">
        <v>8.27</v>
      </c>
      <c r="H831">
        <v>2025</v>
      </c>
      <c r="I831">
        <v>7</v>
      </c>
      <c r="J831" t="s">
        <v>73</v>
      </c>
      <c r="K831" s="1">
        <v>45855</v>
      </c>
      <c r="L831" t="s">
        <v>23</v>
      </c>
      <c r="M831" t="s">
        <v>39</v>
      </c>
      <c r="N831" t="b">
        <v>1</v>
      </c>
      <c r="O831">
        <v>1236</v>
      </c>
    </row>
    <row r="832" spans="1:15" x14ac:dyDescent="0.35">
      <c r="A832" s="1">
        <v>45854</v>
      </c>
      <c r="B832" t="s">
        <v>443</v>
      </c>
      <c r="C832" t="s">
        <v>218</v>
      </c>
      <c r="D832" t="s">
        <v>36</v>
      </c>
      <c r="E832">
        <v>230.84</v>
      </c>
      <c r="F832" t="s">
        <v>443</v>
      </c>
      <c r="G832">
        <v>230.84</v>
      </c>
      <c r="H832">
        <v>2025</v>
      </c>
      <c r="I832">
        <v>7</v>
      </c>
      <c r="J832" t="s">
        <v>73</v>
      </c>
      <c r="K832" s="1">
        <v>45854</v>
      </c>
      <c r="L832" t="s">
        <v>58</v>
      </c>
      <c r="M832" t="s">
        <v>39</v>
      </c>
      <c r="N832" t="b">
        <v>1</v>
      </c>
      <c r="O832">
        <v>1238</v>
      </c>
    </row>
    <row r="833" spans="1:15" x14ac:dyDescent="0.35">
      <c r="A833" s="1">
        <v>45852</v>
      </c>
      <c r="B833" t="s">
        <v>443</v>
      </c>
      <c r="C833" t="s">
        <v>218</v>
      </c>
      <c r="D833" t="s">
        <v>36</v>
      </c>
      <c r="E833">
        <v>420</v>
      </c>
      <c r="F833" t="s">
        <v>443</v>
      </c>
      <c r="G833">
        <v>420</v>
      </c>
      <c r="H833">
        <v>2025</v>
      </c>
      <c r="I833">
        <v>7</v>
      </c>
      <c r="J833" t="s">
        <v>73</v>
      </c>
      <c r="K833" s="1">
        <v>45852</v>
      </c>
      <c r="L833" t="s">
        <v>38</v>
      </c>
      <c r="M833" t="s">
        <v>39</v>
      </c>
      <c r="N833" t="b">
        <v>1</v>
      </c>
      <c r="O833">
        <v>1239</v>
      </c>
    </row>
    <row r="834" spans="1:15" x14ac:dyDescent="0.35">
      <c r="A834" s="1">
        <v>45859</v>
      </c>
      <c r="B834" t="s">
        <v>612</v>
      </c>
      <c r="C834" t="s">
        <v>218</v>
      </c>
      <c r="D834" t="s">
        <v>36</v>
      </c>
      <c r="E834">
        <v>105.24</v>
      </c>
      <c r="F834" t="s">
        <v>613</v>
      </c>
      <c r="G834">
        <v>105.24</v>
      </c>
      <c r="H834">
        <v>2025</v>
      </c>
      <c r="I834">
        <v>7</v>
      </c>
      <c r="J834" t="s">
        <v>73</v>
      </c>
      <c r="K834" s="1">
        <v>45859</v>
      </c>
      <c r="L834" t="s">
        <v>38</v>
      </c>
      <c r="M834" t="s">
        <v>39</v>
      </c>
      <c r="N834" t="b">
        <v>1</v>
      </c>
      <c r="O834">
        <v>1232</v>
      </c>
    </row>
    <row r="835" spans="1:15" x14ac:dyDescent="0.35">
      <c r="A835" s="1">
        <v>45928</v>
      </c>
      <c r="B835" t="s">
        <v>220</v>
      </c>
      <c r="C835" t="s">
        <v>137</v>
      </c>
      <c r="D835" t="s">
        <v>36</v>
      </c>
      <c r="E835">
        <v>20.75</v>
      </c>
      <c r="F835" t="s">
        <v>221</v>
      </c>
      <c r="G835">
        <v>20.75</v>
      </c>
      <c r="H835">
        <v>2025</v>
      </c>
      <c r="I835">
        <v>9</v>
      </c>
      <c r="J835" t="s">
        <v>30</v>
      </c>
      <c r="K835" s="1">
        <v>45928</v>
      </c>
      <c r="L835" t="s">
        <v>41</v>
      </c>
      <c r="M835" t="s">
        <v>39</v>
      </c>
      <c r="N835" t="b">
        <v>1</v>
      </c>
      <c r="O835">
        <v>1163</v>
      </c>
    </row>
    <row r="836" spans="1:15" x14ac:dyDescent="0.35">
      <c r="A836" s="1">
        <v>45934</v>
      </c>
      <c r="B836" t="s">
        <v>614</v>
      </c>
      <c r="C836" t="s">
        <v>137</v>
      </c>
      <c r="D836" t="s">
        <v>36</v>
      </c>
      <c r="E836">
        <v>6</v>
      </c>
      <c r="F836" t="s">
        <v>615</v>
      </c>
      <c r="G836">
        <v>6</v>
      </c>
      <c r="H836">
        <v>2025</v>
      </c>
      <c r="I836">
        <v>10</v>
      </c>
      <c r="J836" t="s">
        <v>57</v>
      </c>
      <c r="K836" s="1">
        <v>45934</v>
      </c>
      <c r="L836" t="s">
        <v>20</v>
      </c>
      <c r="M836" t="s">
        <v>39</v>
      </c>
      <c r="N836" t="b">
        <v>1</v>
      </c>
      <c r="O836">
        <v>1161</v>
      </c>
    </row>
    <row r="837" spans="1:15" x14ac:dyDescent="0.35">
      <c r="A837" s="1">
        <v>45874</v>
      </c>
      <c r="B837" t="s">
        <v>616</v>
      </c>
      <c r="C837" t="s">
        <v>137</v>
      </c>
      <c r="D837" t="s">
        <v>36</v>
      </c>
      <c r="E837">
        <v>9</v>
      </c>
      <c r="F837" t="s">
        <v>617</v>
      </c>
      <c r="G837">
        <v>9</v>
      </c>
      <c r="H837">
        <v>2025</v>
      </c>
      <c r="I837">
        <v>8</v>
      </c>
      <c r="J837" t="s">
        <v>71</v>
      </c>
      <c r="K837" s="1">
        <v>45874</v>
      </c>
      <c r="L837" t="s">
        <v>50</v>
      </c>
      <c r="M837" t="s">
        <v>39</v>
      </c>
      <c r="N837" t="b">
        <v>1</v>
      </c>
      <c r="O837">
        <v>1219</v>
      </c>
    </row>
    <row r="838" spans="1:15" x14ac:dyDescent="0.35">
      <c r="A838" s="1">
        <v>45950</v>
      </c>
      <c r="B838" t="s">
        <v>222</v>
      </c>
      <c r="C838" t="s">
        <v>218</v>
      </c>
      <c r="D838" t="s">
        <v>36</v>
      </c>
      <c r="E838">
        <v>7.99</v>
      </c>
      <c r="F838" t="s">
        <v>223</v>
      </c>
      <c r="G838">
        <v>7.99</v>
      </c>
      <c r="H838">
        <v>2025</v>
      </c>
      <c r="I838">
        <v>10</v>
      </c>
      <c r="J838" t="s">
        <v>57</v>
      </c>
      <c r="K838" s="1">
        <v>45950</v>
      </c>
      <c r="L838" t="s">
        <v>38</v>
      </c>
      <c r="M838" t="s">
        <v>39</v>
      </c>
      <c r="N838" t="b">
        <v>1</v>
      </c>
      <c r="O838">
        <v>1182</v>
      </c>
    </row>
    <row r="839" spans="1:15" x14ac:dyDescent="0.35">
      <c r="A839" s="1">
        <v>45855</v>
      </c>
      <c r="B839" t="s">
        <v>578</v>
      </c>
      <c r="C839" t="s">
        <v>137</v>
      </c>
      <c r="D839" t="s">
        <v>36</v>
      </c>
      <c r="E839">
        <v>20.53</v>
      </c>
      <c r="F839" t="s">
        <v>189</v>
      </c>
      <c r="G839">
        <v>20.53</v>
      </c>
      <c r="H839">
        <v>2025</v>
      </c>
      <c r="I839">
        <v>7</v>
      </c>
      <c r="J839" t="s">
        <v>73</v>
      </c>
      <c r="K839" s="1">
        <v>45855</v>
      </c>
      <c r="L839" t="s">
        <v>23</v>
      </c>
      <c r="M839" t="s">
        <v>39</v>
      </c>
      <c r="N839" t="b">
        <v>1</v>
      </c>
      <c r="O839">
        <v>1252</v>
      </c>
    </row>
    <row r="840" spans="1:15" x14ac:dyDescent="0.35">
      <c r="A840" s="1">
        <v>45856</v>
      </c>
      <c r="B840" t="s">
        <v>467</v>
      </c>
      <c r="C840" t="s">
        <v>137</v>
      </c>
      <c r="D840" t="s">
        <v>36</v>
      </c>
      <c r="E840">
        <v>28.13</v>
      </c>
      <c r="F840" t="s">
        <v>235</v>
      </c>
      <c r="G840">
        <v>28.13</v>
      </c>
      <c r="H840">
        <v>2025</v>
      </c>
      <c r="I840">
        <v>7</v>
      </c>
      <c r="J840" t="s">
        <v>73</v>
      </c>
      <c r="K840" s="1">
        <v>45856</v>
      </c>
      <c r="L840" t="s">
        <v>31</v>
      </c>
      <c r="M840" t="s">
        <v>39</v>
      </c>
      <c r="N840" t="b">
        <v>1</v>
      </c>
      <c r="O840">
        <v>1257</v>
      </c>
    </row>
    <row r="841" spans="1:15" x14ac:dyDescent="0.35">
      <c r="A841" s="1">
        <v>45847</v>
      </c>
      <c r="B841" t="s">
        <v>507</v>
      </c>
      <c r="C841" t="s">
        <v>137</v>
      </c>
      <c r="D841" t="s">
        <v>36</v>
      </c>
      <c r="E841">
        <v>14.19</v>
      </c>
      <c r="F841" t="s">
        <v>427</v>
      </c>
      <c r="G841">
        <v>14.19</v>
      </c>
      <c r="H841">
        <v>2025</v>
      </c>
      <c r="I841">
        <v>7</v>
      </c>
      <c r="J841" t="s">
        <v>73</v>
      </c>
      <c r="K841" s="1">
        <v>45847</v>
      </c>
      <c r="L841" t="s">
        <v>58</v>
      </c>
      <c r="M841" t="s">
        <v>39</v>
      </c>
      <c r="N841" t="b">
        <v>1</v>
      </c>
      <c r="O841">
        <v>1261</v>
      </c>
    </row>
    <row r="842" spans="1:15" x14ac:dyDescent="0.35">
      <c r="A842" s="1">
        <v>45846</v>
      </c>
      <c r="B842" t="s">
        <v>618</v>
      </c>
      <c r="C842" t="s">
        <v>137</v>
      </c>
      <c r="D842" t="s">
        <v>36</v>
      </c>
      <c r="E842">
        <v>38.83</v>
      </c>
      <c r="F842" t="s">
        <v>619</v>
      </c>
      <c r="G842">
        <v>38.83</v>
      </c>
      <c r="H842">
        <v>2025</v>
      </c>
      <c r="I842">
        <v>7</v>
      </c>
      <c r="J842" t="s">
        <v>73</v>
      </c>
      <c r="K842" s="1">
        <v>45846</v>
      </c>
      <c r="L842" t="s">
        <v>50</v>
      </c>
      <c r="M842" t="s">
        <v>39</v>
      </c>
      <c r="N842" t="b">
        <v>1</v>
      </c>
      <c r="O842">
        <v>1262</v>
      </c>
    </row>
    <row r="843" spans="1:15" x14ac:dyDescent="0.35">
      <c r="A843" s="1">
        <v>45842</v>
      </c>
      <c r="B843" t="s">
        <v>620</v>
      </c>
      <c r="C843" t="s">
        <v>218</v>
      </c>
      <c r="D843" t="s">
        <v>36</v>
      </c>
      <c r="E843">
        <v>84.12</v>
      </c>
      <c r="F843" t="s">
        <v>620</v>
      </c>
      <c r="G843">
        <v>84.12</v>
      </c>
      <c r="H843">
        <v>2025</v>
      </c>
      <c r="I843">
        <v>7</v>
      </c>
      <c r="J843" t="s">
        <v>73</v>
      </c>
      <c r="K843" s="1">
        <v>45842</v>
      </c>
      <c r="L843" t="s">
        <v>31</v>
      </c>
      <c r="M843" t="s">
        <v>39</v>
      </c>
      <c r="N843" t="b">
        <v>1</v>
      </c>
      <c r="O843">
        <v>1263</v>
      </c>
    </row>
    <row r="844" spans="1:15" x14ac:dyDescent="0.35">
      <c r="A844" s="1">
        <v>45844</v>
      </c>
      <c r="B844" t="s">
        <v>511</v>
      </c>
      <c r="C844" t="s">
        <v>137</v>
      </c>
      <c r="D844" t="s">
        <v>36</v>
      </c>
      <c r="E844">
        <v>22.48</v>
      </c>
      <c r="F844" t="s">
        <v>512</v>
      </c>
      <c r="G844">
        <v>22.48</v>
      </c>
      <c r="H844">
        <v>2025</v>
      </c>
      <c r="I844">
        <v>7</v>
      </c>
      <c r="J844" t="s">
        <v>73</v>
      </c>
      <c r="K844" s="1">
        <v>45844</v>
      </c>
      <c r="L844" t="s">
        <v>41</v>
      </c>
      <c r="M844" t="s">
        <v>39</v>
      </c>
      <c r="N844" t="b">
        <v>1</v>
      </c>
      <c r="O844">
        <v>1265</v>
      </c>
    </row>
    <row r="845" spans="1:15" x14ac:dyDescent="0.35">
      <c r="A845" s="1">
        <v>45845</v>
      </c>
      <c r="B845" t="s">
        <v>621</v>
      </c>
      <c r="C845" t="s">
        <v>137</v>
      </c>
      <c r="D845" t="s">
        <v>36</v>
      </c>
      <c r="E845">
        <v>11.13</v>
      </c>
      <c r="F845" t="s">
        <v>622</v>
      </c>
      <c r="G845">
        <v>11.13</v>
      </c>
      <c r="H845">
        <v>2025</v>
      </c>
      <c r="I845">
        <v>7</v>
      </c>
      <c r="J845" t="s">
        <v>73</v>
      </c>
      <c r="K845" s="1">
        <v>45845</v>
      </c>
      <c r="L845" t="s">
        <v>38</v>
      </c>
      <c r="M845" t="s">
        <v>39</v>
      </c>
      <c r="N845" t="b">
        <v>1</v>
      </c>
      <c r="O845">
        <v>1266</v>
      </c>
    </row>
    <row r="846" spans="1:15" x14ac:dyDescent="0.35">
      <c r="A846" s="1">
        <v>45841</v>
      </c>
      <c r="B846" t="s">
        <v>557</v>
      </c>
      <c r="C846" t="s">
        <v>137</v>
      </c>
      <c r="D846" t="s">
        <v>36</v>
      </c>
      <c r="E846">
        <v>14.49</v>
      </c>
      <c r="F846" t="s">
        <v>427</v>
      </c>
      <c r="G846">
        <v>14.49</v>
      </c>
      <c r="H846">
        <v>2025</v>
      </c>
      <c r="I846">
        <v>7</v>
      </c>
      <c r="J846" t="s">
        <v>73</v>
      </c>
      <c r="K846" s="1">
        <v>45841</v>
      </c>
      <c r="L846" t="s">
        <v>23</v>
      </c>
      <c r="M846" t="s">
        <v>39</v>
      </c>
      <c r="N846" t="b">
        <v>1</v>
      </c>
      <c r="O846">
        <v>1268</v>
      </c>
    </row>
    <row r="847" spans="1:15" x14ac:dyDescent="0.35">
      <c r="A847" s="1">
        <v>45827</v>
      </c>
      <c r="B847" t="s">
        <v>623</v>
      </c>
      <c r="C847" t="s">
        <v>218</v>
      </c>
      <c r="D847" t="s">
        <v>36</v>
      </c>
      <c r="E847">
        <v>145.84</v>
      </c>
      <c r="F847" t="s">
        <v>624</v>
      </c>
      <c r="G847">
        <v>145.84</v>
      </c>
      <c r="H847">
        <v>2025</v>
      </c>
      <c r="I847">
        <v>6</v>
      </c>
      <c r="J847" t="s">
        <v>33</v>
      </c>
      <c r="K847" s="1">
        <v>45827</v>
      </c>
      <c r="L847" t="s">
        <v>23</v>
      </c>
      <c r="M847" t="s">
        <v>39</v>
      </c>
      <c r="N847" t="b">
        <v>1</v>
      </c>
      <c r="O847">
        <v>1271</v>
      </c>
    </row>
    <row r="848" spans="1:15" x14ac:dyDescent="0.35">
      <c r="A848" s="1">
        <v>45839</v>
      </c>
      <c r="B848" t="s">
        <v>292</v>
      </c>
      <c r="C848" t="s">
        <v>137</v>
      </c>
      <c r="D848" t="s">
        <v>36</v>
      </c>
      <c r="E848">
        <v>14.48</v>
      </c>
      <c r="F848" t="s">
        <v>293</v>
      </c>
      <c r="G848">
        <v>14.48</v>
      </c>
      <c r="H848">
        <v>2025</v>
      </c>
      <c r="I848">
        <v>7</v>
      </c>
      <c r="J848" t="s">
        <v>73</v>
      </c>
      <c r="K848" s="1">
        <v>45839</v>
      </c>
      <c r="L848" t="s">
        <v>50</v>
      </c>
      <c r="M848" t="s">
        <v>39</v>
      </c>
      <c r="N848" t="b">
        <v>1</v>
      </c>
      <c r="O848">
        <v>1273</v>
      </c>
    </row>
    <row r="849" spans="1:15" x14ac:dyDescent="0.35">
      <c r="A849" s="1">
        <v>45831</v>
      </c>
      <c r="B849" t="s">
        <v>507</v>
      </c>
      <c r="C849" t="s">
        <v>137</v>
      </c>
      <c r="D849" t="s">
        <v>36</v>
      </c>
      <c r="E849">
        <v>10.5</v>
      </c>
      <c r="F849" t="s">
        <v>427</v>
      </c>
      <c r="G849">
        <v>10.5</v>
      </c>
      <c r="H849">
        <v>2025</v>
      </c>
      <c r="I849">
        <v>6</v>
      </c>
      <c r="J849" t="s">
        <v>33</v>
      </c>
      <c r="K849" s="1">
        <v>45831</v>
      </c>
      <c r="L849" t="s">
        <v>38</v>
      </c>
      <c r="M849" t="s">
        <v>39</v>
      </c>
      <c r="N849" t="b">
        <v>1</v>
      </c>
      <c r="O849">
        <v>1275</v>
      </c>
    </row>
    <row r="850" spans="1:15" x14ac:dyDescent="0.35">
      <c r="A850" s="1">
        <v>45826</v>
      </c>
      <c r="B850" t="s">
        <v>625</v>
      </c>
      <c r="C850" t="s">
        <v>137</v>
      </c>
      <c r="D850" t="s">
        <v>36</v>
      </c>
      <c r="E850">
        <v>46.3</v>
      </c>
      <c r="F850" t="s">
        <v>626</v>
      </c>
      <c r="G850">
        <v>46.3</v>
      </c>
      <c r="H850">
        <v>2025</v>
      </c>
      <c r="I850">
        <v>6</v>
      </c>
      <c r="J850" t="s">
        <v>33</v>
      </c>
      <c r="K850" s="1">
        <v>45826</v>
      </c>
      <c r="L850" t="s">
        <v>58</v>
      </c>
      <c r="M850" t="s">
        <v>39</v>
      </c>
      <c r="N850" t="b">
        <v>1</v>
      </c>
      <c r="O850">
        <v>1277</v>
      </c>
    </row>
    <row r="851" spans="1:15" x14ac:dyDescent="0.35">
      <c r="A851" s="1">
        <v>45826</v>
      </c>
      <c r="B851" t="s">
        <v>627</v>
      </c>
      <c r="C851" t="s">
        <v>137</v>
      </c>
      <c r="D851" t="s">
        <v>36</v>
      </c>
      <c r="E851">
        <v>72.11</v>
      </c>
      <c r="F851" t="s">
        <v>628</v>
      </c>
      <c r="G851">
        <v>72.11</v>
      </c>
      <c r="H851">
        <v>2025</v>
      </c>
      <c r="I851">
        <v>6</v>
      </c>
      <c r="J851" t="s">
        <v>33</v>
      </c>
      <c r="K851" s="1">
        <v>45826</v>
      </c>
      <c r="L851" t="s">
        <v>58</v>
      </c>
      <c r="M851" t="s">
        <v>39</v>
      </c>
      <c r="N851" t="b">
        <v>1</v>
      </c>
      <c r="O851">
        <v>1278</v>
      </c>
    </row>
    <row r="852" spans="1:15" x14ac:dyDescent="0.35">
      <c r="A852" s="1">
        <v>45824</v>
      </c>
      <c r="B852" t="s">
        <v>629</v>
      </c>
      <c r="C852" t="s">
        <v>137</v>
      </c>
      <c r="D852" t="s">
        <v>36</v>
      </c>
      <c r="E852">
        <v>30.36</v>
      </c>
      <c r="F852" t="s">
        <v>630</v>
      </c>
      <c r="G852">
        <v>30.36</v>
      </c>
      <c r="H852">
        <v>2025</v>
      </c>
      <c r="I852">
        <v>6</v>
      </c>
      <c r="J852" t="s">
        <v>33</v>
      </c>
      <c r="K852" s="1">
        <v>45824</v>
      </c>
      <c r="L852" t="s">
        <v>38</v>
      </c>
      <c r="M852" t="s">
        <v>39</v>
      </c>
      <c r="N852" t="b">
        <v>1</v>
      </c>
      <c r="O852">
        <v>1281</v>
      </c>
    </row>
    <row r="853" spans="1:15" x14ac:dyDescent="0.35">
      <c r="A853" s="1">
        <v>45821</v>
      </c>
      <c r="B853" t="s">
        <v>631</v>
      </c>
      <c r="C853" t="s">
        <v>137</v>
      </c>
      <c r="D853" t="s">
        <v>36</v>
      </c>
      <c r="E853">
        <v>53.4</v>
      </c>
      <c r="F853" t="s">
        <v>632</v>
      </c>
      <c r="G853">
        <v>53.4</v>
      </c>
      <c r="H853">
        <v>2025</v>
      </c>
      <c r="I853">
        <v>6</v>
      </c>
      <c r="J853" t="s">
        <v>33</v>
      </c>
      <c r="K853" s="1">
        <v>45821</v>
      </c>
      <c r="L853" t="s">
        <v>31</v>
      </c>
      <c r="M853" t="s">
        <v>39</v>
      </c>
      <c r="N853" t="b">
        <v>1</v>
      </c>
      <c r="O853">
        <v>1283</v>
      </c>
    </row>
    <row r="854" spans="1:15" x14ac:dyDescent="0.35">
      <c r="A854" s="1">
        <v>45819</v>
      </c>
      <c r="B854" t="s">
        <v>514</v>
      </c>
      <c r="C854" t="s">
        <v>137</v>
      </c>
      <c r="D854" t="s">
        <v>36</v>
      </c>
      <c r="E854">
        <v>20.04</v>
      </c>
      <c r="F854" t="s">
        <v>237</v>
      </c>
      <c r="G854">
        <v>20.04</v>
      </c>
      <c r="H854">
        <v>2025</v>
      </c>
      <c r="I854">
        <v>6</v>
      </c>
      <c r="J854" t="s">
        <v>33</v>
      </c>
      <c r="K854" s="1">
        <v>45819</v>
      </c>
      <c r="L854" t="s">
        <v>58</v>
      </c>
      <c r="M854" t="s">
        <v>39</v>
      </c>
      <c r="N854" t="b">
        <v>1</v>
      </c>
      <c r="O854">
        <v>1286</v>
      </c>
    </row>
    <row r="855" spans="1:15" x14ac:dyDescent="0.35">
      <c r="A855" s="1">
        <v>45815</v>
      </c>
      <c r="B855" t="s">
        <v>633</v>
      </c>
      <c r="C855" t="s">
        <v>137</v>
      </c>
      <c r="D855" t="s">
        <v>36</v>
      </c>
      <c r="E855">
        <v>99.22</v>
      </c>
      <c r="F855" t="s">
        <v>237</v>
      </c>
      <c r="G855">
        <v>99.22</v>
      </c>
      <c r="H855">
        <v>2025</v>
      </c>
      <c r="I855">
        <v>6</v>
      </c>
      <c r="J855" t="s">
        <v>33</v>
      </c>
      <c r="K855" s="1">
        <v>45815</v>
      </c>
      <c r="L855" t="s">
        <v>20</v>
      </c>
      <c r="M855" t="s">
        <v>39</v>
      </c>
      <c r="N855" t="b">
        <v>1</v>
      </c>
      <c r="O855">
        <v>1288</v>
      </c>
    </row>
    <row r="856" spans="1:15" x14ac:dyDescent="0.35">
      <c r="A856" s="1">
        <v>45810</v>
      </c>
      <c r="B856" t="s">
        <v>514</v>
      </c>
      <c r="C856" t="s">
        <v>137</v>
      </c>
      <c r="D856" t="s">
        <v>36</v>
      </c>
      <c r="E856">
        <v>22.62</v>
      </c>
      <c r="F856" t="s">
        <v>237</v>
      </c>
      <c r="G856">
        <v>22.62</v>
      </c>
      <c r="H856">
        <v>2025</v>
      </c>
      <c r="I856">
        <v>6</v>
      </c>
      <c r="J856" t="s">
        <v>33</v>
      </c>
      <c r="K856" s="1">
        <v>45810</v>
      </c>
      <c r="L856" t="s">
        <v>38</v>
      </c>
      <c r="M856" t="s">
        <v>39</v>
      </c>
      <c r="N856" t="b">
        <v>1</v>
      </c>
      <c r="O856">
        <v>1289</v>
      </c>
    </row>
    <row r="857" spans="1:15" x14ac:dyDescent="0.35">
      <c r="A857" s="1">
        <v>45844</v>
      </c>
      <c r="B857" t="s">
        <v>452</v>
      </c>
      <c r="C857" t="s">
        <v>137</v>
      </c>
      <c r="D857" t="s">
        <v>36</v>
      </c>
      <c r="E857">
        <v>10.57</v>
      </c>
      <c r="F857" t="s">
        <v>189</v>
      </c>
      <c r="G857">
        <v>10.57</v>
      </c>
      <c r="H857">
        <v>2025</v>
      </c>
      <c r="I857">
        <v>7</v>
      </c>
      <c r="J857" t="s">
        <v>73</v>
      </c>
      <c r="K857" s="1">
        <v>45844</v>
      </c>
      <c r="L857" t="s">
        <v>41</v>
      </c>
      <c r="M857" t="s">
        <v>39</v>
      </c>
      <c r="N857" t="b">
        <v>1</v>
      </c>
      <c r="O857">
        <v>1290</v>
      </c>
    </row>
    <row r="858" spans="1:15" x14ac:dyDescent="0.35">
      <c r="A858" s="1">
        <v>45816</v>
      </c>
      <c r="B858" t="s">
        <v>225</v>
      </c>
      <c r="C858" t="s">
        <v>218</v>
      </c>
      <c r="D858" t="s">
        <v>36</v>
      </c>
      <c r="E858">
        <v>25.5</v>
      </c>
      <c r="F858" t="s">
        <v>226</v>
      </c>
      <c r="G858">
        <v>25.5</v>
      </c>
      <c r="H858">
        <v>2025</v>
      </c>
      <c r="I858">
        <v>6</v>
      </c>
      <c r="J858" t="s">
        <v>33</v>
      </c>
      <c r="K858" s="1">
        <v>45816</v>
      </c>
      <c r="L858" t="s">
        <v>41</v>
      </c>
      <c r="M858" t="s">
        <v>39</v>
      </c>
      <c r="N858" t="b">
        <v>1</v>
      </c>
      <c r="O858">
        <v>1291</v>
      </c>
    </row>
    <row r="859" spans="1:15" x14ac:dyDescent="0.35">
      <c r="A859" s="1">
        <v>45816</v>
      </c>
      <c r="B859" t="s">
        <v>225</v>
      </c>
      <c r="C859" t="s">
        <v>218</v>
      </c>
      <c r="D859" t="s">
        <v>36</v>
      </c>
      <c r="E859">
        <v>23.82</v>
      </c>
      <c r="F859" t="s">
        <v>226</v>
      </c>
      <c r="G859">
        <v>23.82</v>
      </c>
      <c r="H859">
        <v>2025</v>
      </c>
      <c r="I859">
        <v>6</v>
      </c>
      <c r="J859" t="s">
        <v>33</v>
      </c>
      <c r="K859" s="1">
        <v>45816</v>
      </c>
      <c r="L859" t="s">
        <v>41</v>
      </c>
      <c r="M859" t="s">
        <v>39</v>
      </c>
      <c r="N859" t="b">
        <v>1</v>
      </c>
      <c r="O859">
        <v>1292</v>
      </c>
    </row>
    <row r="860" spans="1:15" x14ac:dyDescent="0.35">
      <c r="A860" s="1">
        <v>45842</v>
      </c>
      <c r="B860" t="s">
        <v>540</v>
      </c>
      <c r="C860" t="s">
        <v>137</v>
      </c>
      <c r="D860" t="s">
        <v>36</v>
      </c>
      <c r="E860">
        <v>5.49</v>
      </c>
      <c r="F860" t="s">
        <v>189</v>
      </c>
      <c r="G860">
        <v>5.49</v>
      </c>
      <c r="H860">
        <v>2025</v>
      </c>
      <c r="I860">
        <v>7</v>
      </c>
      <c r="J860" t="s">
        <v>73</v>
      </c>
      <c r="K860" s="1">
        <v>45842</v>
      </c>
      <c r="L860" t="s">
        <v>31</v>
      </c>
      <c r="M860" t="s">
        <v>39</v>
      </c>
      <c r="N860" t="b">
        <v>1</v>
      </c>
      <c r="O860">
        <v>1297</v>
      </c>
    </row>
    <row r="861" spans="1:15" x14ac:dyDescent="0.35">
      <c r="A861" s="1">
        <v>45836</v>
      </c>
      <c r="B861" t="s">
        <v>523</v>
      </c>
      <c r="C861" t="s">
        <v>137</v>
      </c>
      <c r="D861" t="s">
        <v>36</v>
      </c>
      <c r="E861">
        <v>9.61</v>
      </c>
      <c r="F861" t="s">
        <v>189</v>
      </c>
      <c r="G861">
        <v>9.61</v>
      </c>
      <c r="H861">
        <v>2025</v>
      </c>
      <c r="I861">
        <v>6</v>
      </c>
      <c r="J861" t="s">
        <v>33</v>
      </c>
      <c r="K861" s="1">
        <v>45836</v>
      </c>
      <c r="L861" t="s">
        <v>20</v>
      </c>
      <c r="M861" t="s">
        <v>39</v>
      </c>
      <c r="N861" t="b">
        <v>1</v>
      </c>
      <c r="O861">
        <v>1298</v>
      </c>
    </row>
    <row r="862" spans="1:15" x14ac:dyDescent="0.35">
      <c r="A862" s="1">
        <v>45823</v>
      </c>
      <c r="B862" t="s">
        <v>560</v>
      </c>
      <c r="C862" t="s">
        <v>137</v>
      </c>
      <c r="D862" t="s">
        <v>36</v>
      </c>
      <c r="E862">
        <v>16.670000000000002</v>
      </c>
      <c r="F862" t="s">
        <v>189</v>
      </c>
      <c r="G862">
        <v>16.670000000000002</v>
      </c>
      <c r="H862">
        <v>2025</v>
      </c>
      <c r="I862">
        <v>6</v>
      </c>
      <c r="J862" t="s">
        <v>33</v>
      </c>
      <c r="K862" s="1">
        <v>45823</v>
      </c>
      <c r="L862" t="s">
        <v>41</v>
      </c>
      <c r="M862" t="s">
        <v>39</v>
      </c>
      <c r="N862" t="b">
        <v>1</v>
      </c>
      <c r="O862">
        <v>1299</v>
      </c>
    </row>
    <row r="863" spans="1:15" x14ac:dyDescent="0.35">
      <c r="A863" s="1">
        <v>45822</v>
      </c>
      <c r="B863" t="s">
        <v>524</v>
      </c>
      <c r="C863" t="s">
        <v>137</v>
      </c>
      <c r="D863" t="s">
        <v>36</v>
      </c>
      <c r="E863">
        <v>13.31</v>
      </c>
      <c r="F863" t="s">
        <v>189</v>
      </c>
      <c r="G863">
        <v>13.31</v>
      </c>
      <c r="H863">
        <v>2025</v>
      </c>
      <c r="I863">
        <v>6</v>
      </c>
      <c r="J863" t="s">
        <v>33</v>
      </c>
      <c r="K863" s="1">
        <v>45822</v>
      </c>
      <c r="L863" t="s">
        <v>20</v>
      </c>
      <c r="M863" t="s">
        <v>39</v>
      </c>
      <c r="N863" t="b">
        <v>1</v>
      </c>
      <c r="O863">
        <v>1300</v>
      </c>
    </row>
    <row r="864" spans="1:15" x14ac:dyDescent="0.35">
      <c r="A864" s="1">
        <v>45819</v>
      </c>
      <c r="B864" t="s">
        <v>523</v>
      </c>
      <c r="C864" t="s">
        <v>137</v>
      </c>
      <c r="D864" t="s">
        <v>36</v>
      </c>
      <c r="E864">
        <v>8.32</v>
      </c>
      <c r="F864" t="s">
        <v>189</v>
      </c>
      <c r="G864">
        <v>8.32</v>
      </c>
      <c r="H864">
        <v>2025</v>
      </c>
      <c r="I864">
        <v>6</v>
      </c>
      <c r="J864" t="s">
        <v>33</v>
      </c>
      <c r="K864" s="1">
        <v>45819</v>
      </c>
      <c r="L864" t="s">
        <v>58</v>
      </c>
      <c r="M864" t="s">
        <v>39</v>
      </c>
      <c r="N864" t="b">
        <v>1</v>
      </c>
      <c r="O864">
        <v>1301</v>
      </c>
    </row>
    <row r="865" spans="1:15" x14ac:dyDescent="0.35">
      <c r="A865" s="1">
        <v>45827</v>
      </c>
      <c r="B865" t="s">
        <v>634</v>
      </c>
      <c r="C865" t="s">
        <v>218</v>
      </c>
      <c r="D865" t="s">
        <v>36</v>
      </c>
      <c r="E865">
        <v>96.26</v>
      </c>
      <c r="F865" t="s">
        <v>635</v>
      </c>
      <c r="G865">
        <v>96.26</v>
      </c>
      <c r="H865">
        <v>2025</v>
      </c>
      <c r="I865">
        <v>6</v>
      </c>
      <c r="J865" t="s">
        <v>33</v>
      </c>
      <c r="K865" s="1">
        <v>45827</v>
      </c>
      <c r="L865" t="s">
        <v>23</v>
      </c>
      <c r="M865" t="s">
        <v>39</v>
      </c>
      <c r="N865" t="b">
        <v>1</v>
      </c>
      <c r="O865">
        <v>1270</v>
      </c>
    </row>
    <row r="866" spans="1:15" x14ac:dyDescent="0.35">
      <c r="A866" s="1">
        <v>45816</v>
      </c>
      <c r="B866" t="s">
        <v>560</v>
      </c>
      <c r="C866" t="s">
        <v>137</v>
      </c>
      <c r="D866" t="s">
        <v>36</v>
      </c>
      <c r="E866">
        <v>20.69</v>
      </c>
      <c r="F866" t="s">
        <v>189</v>
      </c>
      <c r="G866">
        <v>20.69</v>
      </c>
      <c r="H866">
        <v>2025</v>
      </c>
      <c r="I866">
        <v>6</v>
      </c>
      <c r="J866" t="s">
        <v>33</v>
      </c>
      <c r="K866" s="1">
        <v>45816</v>
      </c>
      <c r="L866" t="s">
        <v>41</v>
      </c>
      <c r="M866" t="s">
        <v>39</v>
      </c>
      <c r="N866" t="b">
        <v>1</v>
      </c>
      <c r="O866">
        <v>1306</v>
      </c>
    </row>
    <row r="867" spans="1:15" x14ac:dyDescent="0.35">
      <c r="A867" s="1">
        <v>45809</v>
      </c>
      <c r="B867" t="s">
        <v>452</v>
      </c>
      <c r="C867" t="s">
        <v>137</v>
      </c>
      <c r="D867" t="s">
        <v>36</v>
      </c>
      <c r="E867">
        <v>10.35</v>
      </c>
      <c r="F867" t="s">
        <v>189</v>
      </c>
      <c r="G867">
        <v>10.35</v>
      </c>
      <c r="H867">
        <v>2025</v>
      </c>
      <c r="I867">
        <v>6</v>
      </c>
      <c r="J867" t="s">
        <v>33</v>
      </c>
      <c r="K867" s="1">
        <v>45809</v>
      </c>
      <c r="L867" t="s">
        <v>41</v>
      </c>
      <c r="M867" t="s">
        <v>39</v>
      </c>
      <c r="N867" t="b">
        <v>1</v>
      </c>
      <c r="O867">
        <v>1307</v>
      </c>
    </row>
    <row r="868" spans="1:15" x14ac:dyDescent="0.35">
      <c r="A868" s="1">
        <v>45798</v>
      </c>
      <c r="B868" t="s">
        <v>514</v>
      </c>
      <c r="C868" t="s">
        <v>137</v>
      </c>
      <c r="D868" t="s">
        <v>36</v>
      </c>
      <c r="E868">
        <v>22.62</v>
      </c>
      <c r="F868" t="s">
        <v>237</v>
      </c>
      <c r="G868">
        <v>22.62</v>
      </c>
      <c r="H868">
        <v>2025</v>
      </c>
      <c r="I868">
        <v>5</v>
      </c>
      <c r="J868" t="s">
        <v>75</v>
      </c>
      <c r="K868" s="1">
        <v>45798</v>
      </c>
      <c r="L868" t="s">
        <v>58</v>
      </c>
      <c r="M868" t="s">
        <v>39</v>
      </c>
      <c r="N868" t="b">
        <v>1</v>
      </c>
      <c r="O868">
        <v>1317</v>
      </c>
    </row>
    <row r="869" spans="1:15" x14ac:dyDescent="0.35">
      <c r="A869" s="1">
        <v>45796</v>
      </c>
      <c r="B869" t="s">
        <v>636</v>
      </c>
      <c r="C869" t="s">
        <v>137</v>
      </c>
      <c r="D869" t="s">
        <v>36</v>
      </c>
      <c r="E869">
        <v>27.38</v>
      </c>
      <c r="F869" t="s">
        <v>636</v>
      </c>
      <c r="G869">
        <v>27.38</v>
      </c>
      <c r="H869">
        <v>2025</v>
      </c>
      <c r="I869">
        <v>5</v>
      </c>
      <c r="J869" t="s">
        <v>75</v>
      </c>
      <c r="K869" s="1">
        <v>45796</v>
      </c>
      <c r="L869" t="s">
        <v>38</v>
      </c>
      <c r="M869" t="s">
        <v>39</v>
      </c>
      <c r="N869" t="b">
        <v>1</v>
      </c>
      <c r="O869">
        <v>1319</v>
      </c>
    </row>
    <row r="870" spans="1:15" x14ac:dyDescent="0.35">
      <c r="A870" s="1">
        <v>45797</v>
      </c>
      <c r="B870" t="s">
        <v>464</v>
      </c>
      <c r="C870" t="s">
        <v>137</v>
      </c>
      <c r="D870" t="s">
        <v>36</v>
      </c>
      <c r="E870">
        <v>8</v>
      </c>
      <c r="F870" t="s">
        <v>427</v>
      </c>
      <c r="G870">
        <v>8</v>
      </c>
      <c r="H870">
        <v>2025</v>
      </c>
      <c r="I870">
        <v>5</v>
      </c>
      <c r="J870" t="s">
        <v>75</v>
      </c>
      <c r="K870" s="1">
        <v>45797</v>
      </c>
      <c r="L870" t="s">
        <v>50</v>
      </c>
      <c r="M870" t="s">
        <v>39</v>
      </c>
      <c r="N870" t="b">
        <v>1</v>
      </c>
      <c r="O870">
        <v>1322</v>
      </c>
    </row>
    <row r="871" spans="1:15" x14ac:dyDescent="0.35">
      <c r="A871" s="1">
        <v>45793</v>
      </c>
      <c r="B871" t="s">
        <v>514</v>
      </c>
      <c r="C871" t="s">
        <v>137</v>
      </c>
      <c r="D871" t="s">
        <v>36</v>
      </c>
      <c r="E871">
        <v>20.04</v>
      </c>
      <c r="F871" t="s">
        <v>237</v>
      </c>
      <c r="G871">
        <v>20.04</v>
      </c>
      <c r="H871">
        <v>2025</v>
      </c>
      <c r="I871">
        <v>5</v>
      </c>
      <c r="J871" t="s">
        <v>75</v>
      </c>
      <c r="K871" s="1">
        <v>45793</v>
      </c>
      <c r="L871" t="s">
        <v>31</v>
      </c>
      <c r="M871" t="s">
        <v>39</v>
      </c>
      <c r="N871" t="b">
        <v>1</v>
      </c>
      <c r="O871">
        <v>1323</v>
      </c>
    </row>
    <row r="872" spans="1:15" x14ac:dyDescent="0.35">
      <c r="A872" s="1">
        <v>45828</v>
      </c>
      <c r="B872" t="s">
        <v>637</v>
      </c>
      <c r="C872" t="s">
        <v>218</v>
      </c>
      <c r="D872" t="s">
        <v>36</v>
      </c>
      <c r="E872">
        <v>267.37</v>
      </c>
      <c r="F872" t="s">
        <v>638</v>
      </c>
      <c r="G872">
        <v>267.37</v>
      </c>
      <c r="H872">
        <v>2025</v>
      </c>
      <c r="I872">
        <v>6</v>
      </c>
      <c r="J872" t="s">
        <v>33</v>
      </c>
      <c r="K872" s="1">
        <v>45828</v>
      </c>
      <c r="L872" t="s">
        <v>31</v>
      </c>
      <c r="M872" t="s">
        <v>39</v>
      </c>
      <c r="N872" t="b">
        <v>1</v>
      </c>
      <c r="O872">
        <v>1272</v>
      </c>
    </row>
    <row r="873" spans="1:15" x14ac:dyDescent="0.35">
      <c r="A873" s="1">
        <v>45811</v>
      </c>
      <c r="B873" t="s">
        <v>639</v>
      </c>
      <c r="C873" t="s">
        <v>218</v>
      </c>
      <c r="D873" t="s">
        <v>36</v>
      </c>
      <c r="E873">
        <v>79.540000000000006</v>
      </c>
      <c r="F873" t="s">
        <v>640</v>
      </c>
      <c r="G873">
        <v>79.540000000000006</v>
      </c>
      <c r="H873">
        <v>2025</v>
      </c>
      <c r="I873">
        <v>6</v>
      </c>
      <c r="J873" t="s">
        <v>33</v>
      </c>
      <c r="K873" s="1">
        <v>45811</v>
      </c>
      <c r="L873" t="s">
        <v>50</v>
      </c>
      <c r="M873" t="s">
        <v>39</v>
      </c>
      <c r="N873" t="b">
        <v>1</v>
      </c>
      <c r="O873">
        <v>1282</v>
      </c>
    </row>
    <row r="874" spans="1:15" x14ac:dyDescent="0.35">
      <c r="A874" s="1">
        <v>45853</v>
      </c>
      <c r="B874" t="s">
        <v>641</v>
      </c>
      <c r="C874" t="s">
        <v>137</v>
      </c>
      <c r="D874" t="s">
        <v>36</v>
      </c>
      <c r="E874">
        <v>10.7</v>
      </c>
      <c r="F874" t="s">
        <v>642</v>
      </c>
      <c r="G874">
        <v>10.7</v>
      </c>
      <c r="H874">
        <v>2025</v>
      </c>
      <c r="I874">
        <v>7</v>
      </c>
      <c r="J874" t="s">
        <v>73</v>
      </c>
      <c r="K874" s="1">
        <v>45853</v>
      </c>
      <c r="L874" t="s">
        <v>50</v>
      </c>
      <c r="M874" t="s">
        <v>39</v>
      </c>
      <c r="N874" t="b">
        <v>1</v>
      </c>
      <c r="O874">
        <v>1255</v>
      </c>
    </row>
    <row r="875" spans="1:15" x14ac:dyDescent="0.35">
      <c r="A875" s="1">
        <v>45853</v>
      </c>
      <c r="B875" t="s">
        <v>616</v>
      </c>
      <c r="C875" t="s">
        <v>137</v>
      </c>
      <c r="D875" t="s">
        <v>36</v>
      </c>
      <c r="E875">
        <v>9</v>
      </c>
      <c r="F875" t="s">
        <v>617</v>
      </c>
      <c r="G875">
        <v>9</v>
      </c>
      <c r="H875">
        <v>2025</v>
      </c>
      <c r="I875">
        <v>7</v>
      </c>
      <c r="J875" t="s">
        <v>73</v>
      </c>
      <c r="K875" s="1">
        <v>45853</v>
      </c>
      <c r="L875" t="s">
        <v>50</v>
      </c>
      <c r="M875" t="s">
        <v>39</v>
      </c>
      <c r="N875" t="b">
        <v>1</v>
      </c>
      <c r="O875">
        <v>1242</v>
      </c>
    </row>
    <row r="876" spans="1:15" x14ac:dyDescent="0.35">
      <c r="A876" s="1">
        <v>45836</v>
      </c>
      <c r="B876" t="s">
        <v>643</v>
      </c>
      <c r="C876" t="s">
        <v>137</v>
      </c>
      <c r="D876" t="s">
        <v>36</v>
      </c>
      <c r="E876">
        <v>8</v>
      </c>
      <c r="F876" t="s">
        <v>644</v>
      </c>
      <c r="G876">
        <v>8</v>
      </c>
      <c r="H876">
        <v>2025</v>
      </c>
      <c r="I876">
        <v>6</v>
      </c>
      <c r="J876" t="s">
        <v>33</v>
      </c>
      <c r="K876" s="1">
        <v>45836</v>
      </c>
      <c r="L876" t="s">
        <v>20</v>
      </c>
      <c r="M876" t="s">
        <v>39</v>
      </c>
      <c r="N876" t="b">
        <v>1</v>
      </c>
      <c r="O876">
        <v>1274</v>
      </c>
    </row>
    <row r="877" spans="1:15" x14ac:dyDescent="0.35">
      <c r="A877" s="1">
        <v>45787</v>
      </c>
      <c r="B877" t="s">
        <v>645</v>
      </c>
      <c r="C877" t="s">
        <v>218</v>
      </c>
      <c r="D877" t="s">
        <v>36</v>
      </c>
      <c r="E877">
        <v>97.5</v>
      </c>
      <c r="F877" t="s">
        <v>646</v>
      </c>
      <c r="G877">
        <v>97.5</v>
      </c>
      <c r="H877">
        <v>2025</v>
      </c>
      <c r="I877">
        <v>5</v>
      </c>
      <c r="J877" t="s">
        <v>75</v>
      </c>
      <c r="K877" s="1">
        <v>45787</v>
      </c>
      <c r="L877" t="s">
        <v>20</v>
      </c>
      <c r="M877" t="s">
        <v>39</v>
      </c>
      <c r="N877" t="b">
        <v>1</v>
      </c>
      <c r="O877">
        <v>1316</v>
      </c>
    </row>
    <row r="878" spans="1:15" x14ac:dyDescent="0.35">
      <c r="A878" s="1">
        <v>45807</v>
      </c>
      <c r="B878" t="s">
        <v>647</v>
      </c>
      <c r="C878" t="s">
        <v>137</v>
      </c>
      <c r="D878" t="s">
        <v>36</v>
      </c>
      <c r="E878">
        <v>20.79</v>
      </c>
      <c r="F878" t="s">
        <v>647</v>
      </c>
      <c r="G878">
        <v>20.79</v>
      </c>
      <c r="H878">
        <v>2025</v>
      </c>
      <c r="I878">
        <v>5</v>
      </c>
      <c r="J878" t="s">
        <v>75</v>
      </c>
      <c r="K878" s="1">
        <v>45807</v>
      </c>
      <c r="L878" t="s">
        <v>31</v>
      </c>
      <c r="M878" t="s">
        <v>39</v>
      </c>
      <c r="N878" t="b">
        <v>1</v>
      </c>
      <c r="O878">
        <v>1285</v>
      </c>
    </row>
    <row r="879" spans="1:15" x14ac:dyDescent="0.35">
      <c r="A879" s="1">
        <v>45780</v>
      </c>
      <c r="B879" t="s">
        <v>648</v>
      </c>
      <c r="C879" t="s">
        <v>137</v>
      </c>
      <c r="D879" t="s">
        <v>36</v>
      </c>
      <c r="E879">
        <v>18.41</v>
      </c>
      <c r="F879" t="s">
        <v>427</v>
      </c>
      <c r="G879">
        <v>18.41</v>
      </c>
      <c r="H879">
        <v>2025</v>
      </c>
      <c r="I879">
        <v>5</v>
      </c>
      <c r="J879" t="s">
        <v>75</v>
      </c>
      <c r="K879" s="1">
        <v>45780</v>
      </c>
      <c r="L879" t="s">
        <v>20</v>
      </c>
      <c r="M879" t="s">
        <v>39</v>
      </c>
      <c r="N879" t="b">
        <v>1</v>
      </c>
      <c r="O879">
        <v>1339</v>
      </c>
    </row>
    <row r="880" spans="1:15" x14ac:dyDescent="0.35">
      <c r="A880" s="1">
        <v>45801</v>
      </c>
      <c r="B880" t="s">
        <v>560</v>
      </c>
      <c r="C880" t="s">
        <v>137</v>
      </c>
      <c r="D880" t="s">
        <v>36</v>
      </c>
      <c r="E880">
        <v>1.93</v>
      </c>
      <c r="F880" t="s">
        <v>189</v>
      </c>
      <c r="G880">
        <v>1.93</v>
      </c>
      <c r="H880">
        <v>2025</v>
      </c>
      <c r="I880">
        <v>5</v>
      </c>
      <c r="J880" t="s">
        <v>75</v>
      </c>
      <c r="K880" s="1">
        <v>45801</v>
      </c>
      <c r="L880" t="s">
        <v>20</v>
      </c>
      <c r="M880" t="s">
        <v>39</v>
      </c>
      <c r="N880" t="b">
        <v>1</v>
      </c>
      <c r="O880">
        <v>1342</v>
      </c>
    </row>
    <row r="881" spans="1:15" x14ac:dyDescent="0.35">
      <c r="A881" s="1">
        <v>45801</v>
      </c>
      <c r="B881" t="s">
        <v>524</v>
      </c>
      <c r="C881" t="s">
        <v>137</v>
      </c>
      <c r="D881" t="s">
        <v>36</v>
      </c>
      <c r="E881">
        <v>10.73</v>
      </c>
      <c r="F881" t="s">
        <v>189</v>
      </c>
      <c r="G881">
        <v>10.73</v>
      </c>
      <c r="H881">
        <v>2025</v>
      </c>
      <c r="I881">
        <v>5</v>
      </c>
      <c r="J881" t="s">
        <v>75</v>
      </c>
      <c r="K881" s="1">
        <v>45801</v>
      </c>
      <c r="L881" t="s">
        <v>20</v>
      </c>
      <c r="M881" t="s">
        <v>39</v>
      </c>
      <c r="N881" t="b">
        <v>1</v>
      </c>
      <c r="O881">
        <v>1343</v>
      </c>
    </row>
    <row r="882" spans="1:15" x14ac:dyDescent="0.35">
      <c r="A882" s="1">
        <v>45798</v>
      </c>
      <c r="B882" t="s">
        <v>523</v>
      </c>
      <c r="C882" t="s">
        <v>137</v>
      </c>
      <c r="D882" t="s">
        <v>36</v>
      </c>
      <c r="E882">
        <v>7.67</v>
      </c>
      <c r="F882" t="s">
        <v>189</v>
      </c>
      <c r="G882">
        <v>7.67</v>
      </c>
      <c r="H882">
        <v>2025</v>
      </c>
      <c r="I882">
        <v>5</v>
      </c>
      <c r="J882" t="s">
        <v>75</v>
      </c>
      <c r="K882" s="1">
        <v>45798</v>
      </c>
      <c r="L882" t="s">
        <v>58</v>
      </c>
      <c r="M882" t="s">
        <v>39</v>
      </c>
      <c r="N882" t="b">
        <v>1</v>
      </c>
      <c r="O882">
        <v>1351</v>
      </c>
    </row>
    <row r="883" spans="1:15" x14ac:dyDescent="0.35">
      <c r="A883" s="1">
        <v>45795</v>
      </c>
      <c r="B883" t="s">
        <v>452</v>
      </c>
      <c r="C883" t="s">
        <v>137</v>
      </c>
      <c r="D883" t="s">
        <v>36</v>
      </c>
      <c r="E883">
        <v>7.66</v>
      </c>
      <c r="F883" t="s">
        <v>189</v>
      </c>
      <c r="G883">
        <v>7.66</v>
      </c>
      <c r="H883">
        <v>2025</v>
      </c>
      <c r="I883">
        <v>5</v>
      </c>
      <c r="J883" t="s">
        <v>75</v>
      </c>
      <c r="K883" s="1">
        <v>45795</v>
      </c>
      <c r="L883" t="s">
        <v>41</v>
      </c>
      <c r="M883" t="s">
        <v>39</v>
      </c>
      <c r="N883" t="b">
        <v>1</v>
      </c>
      <c r="O883">
        <v>1352</v>
      </c>
    </row>
    <row r="884" spans="1:15" x14ac:dyDescent="0.35">
      <c r="A884" s="1">
        <v>45789</v>
      </c>
      <c r="B884" t="s">
        <v>523</v>
      </c>
      <c r="C884" t="s">
        <v>137</v>
      </c>
      <c r="D884" t="s">
        <v>36</v>
      </c>
      <c r="E884">
        <v>5.08</v>
      </c>
      <c r="F884" t="s">
        <v>189</v>
      </c>
      <c r="G884">
        <v>5.08</v>
      </c>
      <c r="H884">
        <v>2025</v>
      </c>
      <c r="I884">
        <v>5</v>
      </c>
      <c r="J884" t="s">
        <v>75</v>
      </c>
      <c r="K884" s="1">
        <v>45789</v>
      </c>
      <c r="L884" t="s">
        <v>38</v>
      </c>
      <c r="M884" t="s">
        <v>39</v>
      </c>
      <c r="N884" t="b">
        <v>1</v>
      </c>
      <c r="O884">
        <v>1353</v>
      </c>
    </row>
    <row r="885" spans="1:15" x14ac:dyDescent="0.35">
      <c r="A885" s="1">
        <v>45789</v>
      </c>
      <c r="B885" t="s">
        <v>524</v>
      </c>
      <c r="C885" t="s">
        <v>137</v>
      </c>
      <c r="D885" t="s">
        <v>36</v>
      </c>
      <c r="E885">
        <v>8.32</v>
      </c>
      <c r="F885" t="s">
        <v>189</v>
      </c>
      <c r="G885">
        <v>8.32</v>
      </c>
      <c r="H885">
        <v>2025</v>
      </c>
      <c r="I885">
        <v>5</v>
      </c>
      <c r="J885" t="s">
        <v>75</v>
      </c>
      <c r="K885" s="1">
        <v>45789</v>
      </c>
      <c r="L885" t="s">
        <v>38</v>
      </c>
      <c r="M885" t="s">
        <v>39</v>
      </c>
      <c r="N885" t="b">
        <v>1</v>
      </c>
      <c r="O885">
        <v>1354</v>
      </c>
    </row>
    <row r="886" spans="1:15" x14ac:dyDescent="0.35">
      <c r="A886" s="1">
        <v>46110</v>
      </c>
      <c r="B886" t="s">
        <v>649</v>
      </c>
      <c r="C886" t="s">
        <v>137</v>
      </c>
      <c r="D886" t="s">
        <v>36</v>
      </c>
      <c r="E886">
        <v>53.72</v>
      </c>
      <c r="F886" t="s">
        <v>650</v>
      </c>
      <c r="G886">
        <v>53.72</v>
      </c>
      <c r="H886">
        <v>2026</v>
      </c>
      <c r="I886">
        <v>3</v>
      </c>
      <c r="J886" t="s">
        <v>48</v>
      </c>
      <c r="K886" s="1">
        <v>46110</v>
      </c>
      <c r="L886" t="s">
        <v>41</v>
      </c>
      <c r="M886" t="s">
        <v>39</v>
      </c>
      <c r="N886" t="b">
        <v>1</v>
      </c>
      <c r="O886">
        <v>1362</v>
      </c>
    </row>
    <row r="887" spans="1:15" x14ac:dyDescent="0.35">
      <c r="A887" s="1">
        <v>46107</v>
      </c>
      <c r="B887" s="2" t="s">
        <v>651</v>
      </c>
      <c r="C887" t="s">
        <v>137</v>
      </c>
      <c r="D887" t="s">
        <v>36</v>
      </c>
      <c r="E887">
        <v>23.62</v>
      </c>
      <c r="F887" t="s">
        <v>293</v>
      </c>
      <c r="G887">
        <v>23.62</v>
      </c>
      <c r="H887">
        <v>2026</v>
      </c>
      <c r="I887">
        <v>3</v>
      </c>
      <c r="J887" t="s">
        <v>48</v>
      </c>
      <c r="K887" s="1">
        <v>46107</v>
      </c>
      <c r="L887" t="s">
        <v>23</v>
      </c>
      <c r="M887" t="s">
        <v>39</v>
      </c>
      <c r="N887" t="b">
        <v>1</v>
      </c>
      <c r="O887">
        <v>1365</v>
      </c>
    </row>
    <row r="888" spans="1:15" x14ac:dyDescent="0.35">
      <c r="A888" s="1">
        <v>46107</v>
      </c>
      <c r="B888" t="s">
        <v>652</v>
      </c>
      <c r="C888" t="s">
        <v>137</v>
      </c>
      <c r="D888" t="s">
        <v>36</v>
      </c>
      <c r="E888">
        <v>8.1300000000000008</v>
      </c>
      <c r="F888" t="s">
        <v>221</v>
      </c>
      <c r="G888">
        <v>8.1300000000000008</v>
      </c>
      <c r="H888">
        <v>2026</v>
      </c>
      <c r="I888">
        <v>3</v>
      </c>
      <c r="J888" t="s">
        <v>48</v>
      </c>
      <c r="K888" s="1">
        <v>46107</v>
      </c>
      <c r="L888" t="s">
        <v>23</v>
      </c>
      <c r="M888" t="s">
        <v>39</v>
      </c>
      <c r="N888" t="b">
        <v>1</v>
      </c>
      <c r="O888">
        <v>1366</v>
      </c>
    </row>
    <row r="889" spans="1:15" x14ac:dyDescent="0.35">
      <c r="A889" s="1">
        <v>46108</v>
      </c>
      <c r="B889" t="s">
        <v>653</v>
      </c>
      <c r="C889" t="s">
        <v>137</v>
      </c>
      <c r="D889" t="s">
        <v>36</v>
      </c>
      <c r="E889">
        <v>23.83</v>
      </c>
      <c r="F889" t="s">
        <v>235</v>
      </c>
      <c r="G889">
        <v>23.83</v>
      </c>
      <c r="H889">
        <v>2026</v>
      </c>
      <c r="I889">
        <v>3</v>
      </c>
      <c r="J889" t="s">
        <v>48</v>
      </c>
      <c r="K889" s="1">
        <v>46108</v>
      </c>
      <c r="L889" t="s">
        <v>31</v>
      </c>
      <c r="M889" t="s">
        <v>39</v>
      </c>
      <c r="N889" t="b">
        <v>1</v>
      </c>
      <c r="O889">
        <v>1367</v>
      </c>
    </row>
    <row r="890" spans="1:15" x14ac:dyDescent="0.35">
      <c r="A890" s="1">
        <v>46104</v>
      </c>
      <c r="B890" t="s">
        <v>236</v>
      </c>
      <c r="C890" t="s">
        <v>137</v>
      </c>
      <c r="D890" t="s">
        <v>36</v>
      </c>
      <c r="E890">
        <v>23.11</v>
      </c>
      <c r="F890" t="s">
        <v>237</v>
      </c>
      <c r="G890">
        <v>23.11</v>
      </c>
      <c r="H890">
        <v>2026</v>
      </c>
      <c r="I890">
        <v>3</v>
      </c>
      <c r="J890" t="s">
        <v>48</v>
      </c>
      <c r="K890" s="1">
        <v>46104</v>
      </c>
      <c r="L890" t="s">
        <v>38</v>
      </c>
      <c r="M890" t="s">
        <v>39</v>
      </c>
      <c r="N890" t="b">
        <v>1</v>
      </c>
      <c r="O890">
        <v>1368</v>
      </c>
    </row>
    <row r="891" spans="1:15" x14ac:dyDescent="0.35">
      <c r="A891" s="1">
        <v>46091</v>
      </c>
      <c r="B891" t="s">
        <v>236</v>
      </c>
      <c r="C891" t="s">
        <v>137</v>
      </c>
      <c r="D891" t="s">
        <v>36</v>
      </c>
      <c r="E891">
        <v>38.1</v>
      </c>
      <c r="F891" t="s">
        <v>237</v>
      </c>
      <c r="G891">
        <v>38.1</v>
      </c>
      <c r="H891">
        <v>2026</v>
      </c>
      <c r="I891">
        <v>3</v>
      </c>
      <c r="J891" t="s">
        <v>48</v>
      </c>
      <c r="K891" s="1">
        <v>46091</v>
      </c>
      <c r="L891" t="s">
        <v>50</v>
      </c>
      <c r="M891" t="s">
        <v>39</v>
      </c>
      <c r="N891" t="b">
        <v>1</v>
      </c>
      <c r="O891">
        <v>1369</v>
      </c>
    </row>
    <row r="892" spans="1:15" x14ac:dyDescent="0.35">
      <c r="A892" s="1">
        <v>46086</v>
      </c>
      <c r="B892" t="s">
        <v>236</v>
      </c>
      <c r="C892" t="s">
        <v>137</v>
      </c>
      <c r="D892" t="s">
        <v>36</v>
      </c>
      <c r="E892">
        <v>20.27</v>
      </c>
      <c r="F892" t="s">
        <v>237</v>
      </c>
      <c r="G892">
        <v>20.27</v>
      </c>
      <c r="H892">
        <v>2026</v>
      </c>
      <c r="I892">
        <v>3</v>
      </c>
      <c r="J892" t="s">
        <v>48</v>
      </c>
      <c r="K892" s="1">
        <v>46086</v>
      </c>
      <c r="L892" t="s">
        <v>23</v>
      </c>
      <c r="M892" t="s">
        <v>39</v>
      </c>
      <c r="N892" t="b">
        <v>1</v>
      </c>
      <c r="O892">
        <v>1370</v>
      </c>
    </row>
    <row r="893" spans="1:15" x14ac:dyDescent="0.35">
      <c r="A893" s="1">
        <v>46084</v>
      </c>
      <c r="B893" t="s">
        <v>236</v>
      </c>
      <c r="C893" t="s">
        <v>137</v>
      </c>
      <c r="D893" t="s">
        <v>36</v>
      </c>
      <c r="E893">
        <v>20.27</v>
      </c>
      <c r="F893" t="s">
        <v>237</v>
      </c>
      <c r="G893">
        <v>20.27</v>
      </c>
      <c r="H893">
        <v>2026</v>
      </c>
      <c r="I893">
        <v>3</v>
      </c>
      <c r="J893" t="s">
        <v>48</v>
      </c>
      <c r="K893" s="1">
        <v>46084</v>
      </c>
      <c r="L893" t="s">
        <v>50</v>
      </c>
      <c r="M893" t="s">
        <v>39</v>
      </c>
      <c r="N893" t="b">
        <v>1</v>
      </c>
      <c r="O893">
        <v>1371</v>
      </c>
    </row>
    <row r="894" spans="1:15" x14ac:dyDescent="0.35">
      <c r="A894" s="1">
        <v>46080</v>
      </c>
      <c r="B894" t="s">
        <v>236</v>
      </c>
      <c r="C894" t="s">
        <v>137</v>
      </c>
      <c r="D894" t="s">
        <v>36</v>
      </c>
      <c r="E894">
        <v>23.54</v>
      </c>
      <c r="F894" t="s">
        <v>237</v>
      </c>
      <c r="G894">
        <v>23.54</v>
      </c>
      <c r="H894">
        <v>2026</v>
      </c>
      <c r="I894">
        <v>2</v>
      </c>
      <c r="J894" t="s">
        <v>19</v>
      </c>
      <c r="K894" s="1">
        <v>46080</v>
      </c>
      <c r="L894" t="s">
        <v>31</v>
      </c>
      <c r="M894" t="s">
        <v>39</v>
      </c>
      <c r="N894" t="b">
        <v>1</v>
      </c>
      <c r="O894">
        <v>1372</v>
      </c>
    </row>
    <row r="895" spans="1:15" x14ac:dyDescent="0.35">
      <c r="A895" s="1">
        <v>46071</v>
      </c>
      <c r="B895" t="s">
        <v>236</v>
      </c>
      <c r="C895" t="s">
        <v>137</v>
      </c>
      <c r="D895" t="s">
        <v>36</v>
      </c>
      <c r="E895">
        <v>17.059999999999999</v>
      </c>
      <c r="F895" t="s">
        <v>237</v>
      </c>
      <c r="G895">
        <v>17.059999999999999</v>
      </c>
      <c r="H895">
        <v>2026</v>
      </c>
      <c r="I895">
        <v>2</v>
      </c>
      <c r="J895" t="s">
        <v>19</v>
      </c>
      <c r="K895" s="1">
        <v>46071</v>
      </c>
      <c r="L895" t="s">
        <v>58</v>
      </c>
      <c r="M895" t="s">
        <v>39</v>
      </c>
      <c r="N895" t="b">
        <v>1</v>
      </c>
      <c r="O895">
        <v>1373</v>
      </c>
    </row>
    <row r="896" spans="1:15" x14ac:dyDescent="0.35">
      <c r="A896" s="1">
        <v>46052</v>
      </c>
      <c r="B896" s="2" t="s">
        <v>654</v>
      </c>
      <c r="C896" t="s">
        <v>137</v>
      </c>
      <c r="D896" t="s">
        <v>36</v>
      </c>
      <c r="E896">
        <v>6.76</v>
      </c>
      <c r="F896" t="s">
        <v>237</v>
      </c>
      <c r="G896">
        <v>6.76</v>
      </c>
      <c r="H896">
        <v>2026</v>
      </c>
      <c r="I896">
        <v>1</v>
      </c>
      <c r="J896" t="s">
        <v>24</v>
      </c>
      <c r="K896" s="1">
        <v>46052</v>
      </c>
      <c r="L896" t="s">
        <v>31</v>
      </c>
      <c r="M896" t="s">
        <v>39</v>
      </c>
      <c r="N896" t="b">
        <v>1</v>
      </c>
      <c r="O896">
        <v>1374</v>
      </c>
    </row>
    <row r="897" spans="1:15" x14ac:dyDescent="0.35">
      <c r="A897" s="1">
        <v>46048</v>
      </c>
      <c r="B897" t="s">
        <v>236</v>
      </c>
      <c r="C897" t="s">
        <v>137</v>
      </c>
      <c r="D897" t="s">
        <v>36</v>
      </c>
      <c r="E897">
        <v>16.53</v>
      </c>
      <c r="F897" t="s">
        <v>237</v>
      </c>
      <c r="G897">
        <v>16.53</v>
      </c>
      <c r="H897">
        <v>2026</v>
      </c>
      <c r="I897">
        <v>1</v>
      </c>
      <c r="J897" t="s">
        <v>24</v>
      </c>
      <c r="K897" s="1">
        <v>46048</v>
      </c>
      <c r="L897" t="s">
        <v>38</v>
      </c>
      <c r="M897" t="s">
        <v>39</v>
      </c>
      <c r="N897" t="b">
        <v>1</v>
      </c>
      <c r="O897">
        <v>1375</v>
      </c>
    </row>
    <row r="898" spans="1:15" x14ac:dyDescent="0.35">
      <c r="A898" s="1">
        <v>46043</v>
      </c>
      <c r="B898" s="2" t="s">
        <v>655</v>
      </c>
      <c r="C898" t="s">
        <v>137</v>
      </c>
      <c r="D898" t="s">
        <v>36</v>
      </c>
      <c r="E898">
        <v>16.53</v>
      </c>
      <c r="F898" t="s">
        <v>237</v>
      </c>
      <c r="G898">
        <v>16.53</v>
      </c>
      <c r="H898">
        <v>2026</v>
      </c>
      <c r="I898">
        <v>1</v>
      </c>
      <c r="J898" t="s">
        <v>24</v>
      </c>
      <c r="K898" s="1">
        <v>46043</v>
      </c>
      <c r="L898" t="s">
        <v>58</v>
      </c>
      <c r="M898" t="s">
        <v>39</v>
      </c>
      <c r="N898" t="b">
        <v>1</v>
      </c>
      <c r="O898">
        <v>1376</v>
      </c>
    </row>
    <row r="899" spans="1:15" x14ac:dyDescent="0.35">
      <c r="A899" s="1">
        <v>45792</v>
      </c>
      <c r="B899" t="s">
        <v>656</v>
      </c>
      <c r="C899" t="s">
        <v>137</v>
      </c>
      <c r="D899" t="s">
        <v>36</v>
      </c>
      <c r="E899">
        <v>5.71</v>
      </c>
      <c r="F899" t="s">
        <v>138</v>
      </c>
      <c r="G899">
        <v>5.71</v>
      </c>
      <c r="H899">
        <v>2025</v>
      </c>
      <c r="I899">
        <v>5</v>
      </c>
      <c r="J899" t="s">
        <v>75</v>
      </c>
      <c r="K899" s="1">
        <v>45792</v>
      </c>
      <c r="L899" t="s">
        <v>23</v>
      </c>
      <c r="M899" t="s">
        <v>39</v>
      </c>
      <c r="N899" t="b">
        <v>1</v>
      </c>
      <c r="O899">
        <v>1325</v>
      </c>
    </row>
    <row r="900" spans="1:15" x14ac:dyDescent="0.35">
      <c r="A900" s="1">
        <v>46110</v>
      </c>
      <c r="B900" t="s">
        <v>657</v>
      </c>
      <c r="C900" t="s">
        <v>218</v>
      </c>
      <c r="D900" t="s">
        <v>36</v>
      </c>
      <c r="E900">
        <v>21.66</v>
      </c>
      <c r="F900" t="s">
        <v>658</v>
      </c>
      <c r="G900">
        <v>21.66</v>
      </c>
      <c r="H900">
        <v>2026</v>
      </c>
      <c r="I900">
        <v>3</v>
      </c>
      <c r="J900" t="s">
        <v>48</v>
      </c>
      <c r="K900" s="1">
        <v>46110</v>
      </c>
      <c r="L900" t="s">
        <v>41</v>
      </c>
      <c r="M900" t="s">
        <v>39</v>
      </c>
      <c r="N900" t="b">
        <v>1</v>
      </c>
      <c r="O900">
        <v>1363</v>
      </c>
    </row>
    <row r="901" spans="1:15" x14ac:dyDescent="0.35">
      <c r="A901" s="1">
        <v>45995</v>
      </c>
      <c r="B901" t="s">
        <v>236</v>
      </c>
      <c r="C901" t="s">
        <v>137</v>
      </c>
      <c r="D901" t="s">
        <v>36</v>
      </c>
      <c r="E901">
        <v>21.02</v>
      </c>
      <c r="F901" t="s">
        <v>237</v>
      </c>
      <c r="G901">
        <v>21.02</v>
      </c>
      <c r="H901">
        <v>2025</v>
      </c>
      <c r="I901">
        <v>12</v>
      </c>
      <c r="J901" t="s">
        <v>66</v>
      </c>
      <c r="K901" s="1">
        <v>45995</v>
      </c>
      <c r="L901" t="s">
        <v>23</v>
      </c>
      <c r="M901" t="s">
        <v>39</v>
      </c>
      <c r="N901" t="b">
        <v>1</v>
      </c>
      <c r="O901">
        <v>1377</v>
      </c>
    </row>
    <row r="902" spans="1:15" x14ac:dyDescent="0.35">
      <c r="A902" s="1">
        <v>46104</v>
      </c>
      <c r="B902" t="s">
        <v>233</v>
      </c>
      <c r="C902" t="s">
        <v>137</v>
      </c>
      <c r="D902" t="s">
        <v>36</v>
      </c>
      <c r="E902">
        <v>5.17</v>
      </c>
      <c r="F902" t="s">
        <v>138</v>
      </c>
      <c r="G902">
        <v>5.17</v>
      </c>
      <c r="H902">
        <v>2026</v>
      </c>
      <c r="I902">
        <v>3</v>
      </c>
      <c r="J902" t="s">
        <v>48</v>
      </c>
      <c r="K902" s="1">
        <v>46104</v>
      </c>
      <c r="L902" t="s">
        <v>38</v>
      </c>
      <c r="M902" t="s">
        <v>39</v>
      </c>
      <c r="N902" t="b">
        <v>1</v>
      </c>
      <c r="O902">
        <v>1379</v>
      </c>
    </row>
    <row r="903" spans="1:15" x14ac:dyDescent="0.35">
      <c r="A903" s="1">
        <v>46105</v>
      </c>
      <c r="B903" t="s">
        <v>659</v>
      </c>
      <c r="C903" t="s">
        <v>137</v>
      </c>
      <c r="D903" t="s">
        <v>36</v>
      </c>
      <c r="E903">
        <v>8.56</v>
      </c>
      <c r="F903" t="s">
        <v>189</v>
      </c>
      <c r="G903">
        <v>8.56</v>
      </c>
      <c r="H903">
        <v>2026</v>
      </c>
      <c r="I903">
        <v>3</v>
      </c>
      <c r="J903" t="s">
        <v>48</v>
      </c>
      <c r="K903" s="1">
        <v>46105</v>
      </c>
      <c r="L903" t="s">
        <v>50</v>
      </c>
      <c r="M903" t="s">
        <v>39</v>
      </c>
      <c r="N903" t="b">
        <v>1</v>
      </c>
      <c r="O903">
        <v>1380</v>
      </c>
    </row>
    <row r="904" spans="1:15" x14ac:dyDescent="0.35">
      <c r="A904" s="1">
        <v>46098</v>
      </c>
      <c r="B904" t="s">
        <v>660</v>
      </c>
      <c r="C904" t="s">
        <v>137</v>
      </c>
      <c r="D904" t="s">
        <v>36</v>
      </c>
      <c r="E904">
        <v>10.08</v>
      </c>
      <c r="F904" t="s">
        <v>189</v>
      </c>
      <c r="G904">
        <v>10.08</v>
      </c>
      <c r="H904">
        <v>2026</v>
      </c>
      <c r="I904">
        <v>3</v>
      </c>
      <c r="J904" t="s">
        <v>48</v>
      </c>
      <c r="K904" s="1">
        <v>46098</v>
      </c>
      <c r="L904" t="s">
        <v>50</v>
      </c>
      <c r="M904" t="s">
        <v>39</v>
      </c>
      <c r="N904" t="b">
        <v>1</v>
      </c>
      <c r="O904">
        <v>1381</v>
      </c>
    </row>
    <row r="905" spans="1:15" x14ac:dyDescent="0.35">
      <c r="A905" s="1">
        <v>46068</v>
      </c>
      <c r="B905" t="s">
        <v>661</v>
      </c>
      <c r="C905" t="s">
        <v>218</v>
      </c>
      <c r="D905" t="s">
        <v>36</v>
      </c>
      <c r="E905">
        <v>14.11</v>
      </c>
      <c r="F905" t="s">
        <v>226</v>
      </c>
      <c r="G905">
        <v>14.11</v>
      </c>
      <c r="H905">
        <v>2026</v>
      </c>
      <c r="I905">
        <v>2</v>
      </c>
      <c r="J905" t="s">
        <v>19</v>
      </c>
      <c r="K905" s="1">
        <v>46068</v>
      </c>
      <c r="L905" t="s">
        <v>41</v>
      </c>
      <c r="M905" t="s">
        <v>39</v>
      </c>
      <c r="N905" t="b">
        <v>1</v>
      </c>
      <c r="O905">
        <v>1382</v>
      </c>
    </row>
    <row r="906" spans="1:15" x14ac:dyDescent="0.35">
      <c r="A906" s="1">
        <v>46102</v>
      </c>
      <c r="B906" s="2" t="s">
        <v>662</v>
      </c>
      <c r="C906" t="s">
        <v>218</v>
      </c>
      <c r="D906" t="s">
        <v>36</v>
      </c>
      <c r="E906">
        <v>13.99</v>
      </c>
      <c r="F906" t="s">
        <v>497</v>
      </c>
      <c r="G906">
        <v>13.99</v>
      </c>
      <c r="H906">
        <v>2026</v>
      </c>
      <c r="I906">
        <v>3</v>
      </c>
      <c r="J906" t="s">
        <v>48</v>
      </c>
      <c r="K906" s="1">
        <v>46102</v>
      </c>
      <c r="L906" t="s">
        <v>20</v>
      </c>
      <c r="M906" t="s">
        <v>39</v>
      </c>
      <c r="N906" t="b">
        <v>1</v>
      </c>
      <c r="O906">
        <v>1385</v>
      </c>
    </row>
    <row r="907" spans="1:15" x14ac:dyDescent="0.35">
      <c r="A907" s="1">
        <v>46074</v>
      </c>
      <c r="B907" s="2" t="s">
        <v>663</v>
      </c>
      <c r="C907" t="s">
        <v>218</v>
      </c>
      <c r="D907" t="s">
        <v>36</v>
      </c>
      <c r="E907">
        <v>13.99</v>
      </c>
      <c r="F907" t="s">
        <v>497</v>
      </c>
      <c r="G907">
        <v>13.99</v>
      </c>
      <c r="H907">
        <v>2026</v>
      </c>
      <c r="I907">
        <v>2</v>
      </c>
      <c r="J907" t="s">
        <v>19</v>
      </c>
      <c r="K907" s="1">
        <v>46074</v>
      </c>
      <c r="L907" t="s">
        <v>20</v>
      </c>
      <c r="M907" t="s">
        <v>39</v>
      </c>
      <c r="N907" t="b">
        <v>1</v>
      </c>
      <c r="O907">
        <v>1386</v>
      </c>
    </row>
    <row r="908" spans="1:15" x14ac:dyDescent="0.35">
      <c r="A908" s="1">
        <v>46095</v>
      </c>
      <c r="B908" s="2" t="s">
        <v>664</v>
      </c>
      <c r="C908" t="s">
        <v>218</v>
      </c>
      <c r="D908" t="s">
        <v>36</v>
      </c>
      <c r="E908">
        <v>7.99</v>
      </c>
      <c r="F908" t="s">
        <v>665</v>
      </c>
      <c r="G908">
        <v>7.99</v>
      </c>
      <c r="H908">
        <v>2026</v>
      </c>
      <c r="I908">
        <v>3</v>
      </c>
      <c r="J908" t="s">
        <v>48</v>
      </c>
      <c r="K908" s="1">
        <v>46095</v>
      </c>
      <c r="L908" t="s">
        <v>20</v>
      </c>
      <c r="M908" t="s">
        <v>39</v>
      </c>
      <c r="N908" t="b">
        <v>1</v>
      </c>
      <c r="O908">
        <v>1388</v>
      </c>
    </row>
    <row r="909" spans="1:15" x14ac:dyDescent="0.35">
      <c r="A909" s="1">
        <v>46067</v>
      </c>
      <c r="B909" t="s">
        <v>666</v>
      </c>
      <c r="C909" t="s">
        <v>218</v>
      </c>
      <c r="D909" t="s">
        <v>36</v>
      </c>
      <c r="E909">
        <v>7.99</v>
      </c>
      <c r="F909" t="s">
        <v>665</v>
      </c>
      <c r="G909">
        <v>7.99</v>
      </c>
      <c r="H909">
        <v>2026</v>
      </c>
      <c r="I909">
        <v>2</v>
      </c>
      <c r="J909" t="s">
        <v>19</v>
      </c>
      <c r="K909" s="1">
        <v>46067</v>
      </c>
      <c r="L909" t="s">
        <v>20</v>
      </c>
      <c r="M909" t="s">
        <v>39</v>
      </c>
      <c r="N909" t="b">
        <v>1</v>
      </c>
      <c r="O909">
        <v>1390</v>
      </c>
    </row>
    <row r="910" spans="1:15" x14ac:dyDescent="0.35">
      <c r="A910" s="1">
        <v>45988</v>
      </c>
      <c r="B910" t="s">
        <v>667</v>
      </c>
      <c r="C910" t="s">
        <v>218</v>
      </c>
      <c r="D910" t="s">
        <v>36</v>
      </c>
      <c r="E910">
        <v>41.96</v>
      </c>
      <c r="F910" t="s">
        <v>668</v>
      </c>
      <c r="G910">
        <v>41.96</v>
      </c>
      <c r="H910">
        <v>2025</v>
      </c>
      <c r="I910">
        <v>11</v>
      </c>
      <c r="J910" t="s">
        <v>68</v>
      </c>
      <c r="K910" s="1">
        <v>45988</v>
      </c>
      <c r="L910" t="s">
        <v>23</v>
      </c>
      <c r="M910" t="s">
        <v>39</v>
      </c>
      <c r="N910" t="b">
        <v>1</v>
      </c>
      <c r="O910">
        <v>1401</v>
      </c>
    </row>
    <row r="911" spans="1:15" x14ac:dyDescent="0.35">
      <c r="A911" s="1">
        <v>46110</v>
      </c>
      <c r="B911" t="s">
        <v>669</v>
      </c>
      <c r="C911" t="s">
        <v>137</v>
      </c>
      <c r="D911" t="s">
        <v>36</v>
      </c>
      <c r="E911">
        <v>9.75</v>
      </c>
      <c r="F911" t="s">
        <v>670</v>
      </c>
      <c r="G911">
        <v>9.75</v>
      </c>
      <c r="H911">
        <v>2026</v>
      </c>
      <c r="I911">
        <v>3</v>
      </c>
      <c r="J911" t="s">
        <v>48</v>
      </c>
      <c r="K911" s="1">
        <v>46110</v>
      </c>
      <c r="L911" t="s">
        <v>41</v>
      </c>
      <c r="M911" t="s">
        <v>39</v>
      </c>
      <c r="N911" t="b">
        <v>1</v>
      </c>
      <c r="O911">
        <v>1364</v>
      </c>
    </row>
    <row r="912" spans="1:15" x14ac:dyDescent="0.35">
      <c r="A912" s="1">
        <v>46095</v>
      </c>
      <c r="B912" s="2" t="s">
        <v>671</v>
      </c>
      <c r="C912" t="s">
        <v>218</v>
      </c>
      <c r="D912" t="s">
        <v>36</v>
      </c>
      <c r="E912">
        <v>67.900000000000006</v>
      </c>
      <c r="F912" s="2" t="s">
        <v>672</v>
      </c>
      <c r="G912">
        <v>67.900000000000006</v>
      </c>
      <c r="H912">
        <v>2026</v>
      </c>
      <c r="I912">
        <v>3</v>
      </c>
      <c r="J912" t="s">
        <v>48</v>
      </c>
      <c r="K912" s="1">
        <v>46095</v>
      </c>
      <c r="L912" t="s">
        <v>20</v>
      </c>
      <c r="M912" t="s">
        <v>39</v>
      </c>
      <c r="N912" t="b">
        <v>1</v>
      </c>
      <c r="O912">
        <v>1384</v>
      </c>
    </row>
    <row r="913" spans="1:15" x14ac:dyDescent="0.35">
      <c r="A913" s="1">
        <v>45788</v>
      </c>
      <c r="B913" t="s">
        <v>220</v>
      </c>
      <c r="C913" t="s">
        <v>137</v>
      </c>
      <c r="D913" t="s">
        <v>36</v>
      </c>
      <c r="E913">
        <v>25.74</v>
      </c>
      <c r="F913" t="s">
        <v>221</v>
      </c>
      <c r="G913">
        <v>25.74</v>
      </c>
      <c r="H913">
        <v>2025</v>
      </c>
      <c r="I913">
        <v>5</v>
      </c>
      <c r="J913" t="s">
        <v>75</v>
      </c>
      <c r="K913" s="1">
        <v>45788</v>
      </c>
      <c r="L913" t="s">
        <v>41</v>
      </c>
      <c r="M913" t="s">
        <v>39</v>
      </c>
      <c r="N913" t="b">
        <v>1</v>
      </c>
      <c r="O913">
        <v>1327</v>
      </c>
    </row>
    <row r="914" spans="1:15" x14ac:dyDescent="0.35">
      <c r="A914" s="1">
        <v>45788</v>
      </c>
      <c r="B914" t="s">
        <v>252</v>
      </c>
      <c r="C914" t="s">
        <v>137</v>
      </c>
      <c r="D914" t="s">
        <v>36</v>
      </c>
      <c r="E914">
        <v>9.4600000000000009</v>
      </c>
      <c r="F914" t="s">
        <v>253</v>
      </c>
      <c r="G914">
        <v>9.4600000000000009</v>
      </c>
      <c r="H914">
        <v>2025</v>
      </c>
      <c r="I914">
        <v>5</v>
      </c>
      <c r="J914" t="s">
        <v>75</v>
      </c>
      <c r="K914" s="1">
        <v>45788</v>
      </c>
      <c r="L914" t="s">
        <v>41</v>
      </c>
      <c r="M914" t="s">
        <v>39</v>
      </c>
      <c r="N914" t="b">
        <v>1</v>
      </c>
      <c r="O914">
        <v>1328</v>
      </c>
    </row>
    <row r="915" spans="1:15" x14ac:dyDescent="0.35">
      <c r="A915" s="1">
        <v>45788</v>
      </c>
      <c r="B915" t="s">
        <v>252</v>
      </c>
      <c r="C915" t="s">
        <v>137</v>
      </c>
      <c r="D915" t="s">
        <v>36</v>
      </c>
      <c r="E915">
        <v>25.03</v>
      </c>
      <c r="F915" t="s">
        <v>253</v>
      </c>
      <c r="G915">
        <v>25.03</v>
      </c>
      <c r="H915">
        <v>2025</v>
      </c>
      <c r="I915">
        <v>5</v>
      </c>
      <c r="J915" t="s">
        <v>75</v>
      </c>
      <c r="K915" s="1">
        <v>45788</v>
      </c>
      <c r="L915" t="s">
        <v>41</v>
      </c>
      <c r="M915" t="s">
        <v>39</v>
      </c>
      <c r="N915" t="b">
        <v>1</v>
      </c>
      <c r="O915">
        <v>1330</v>
      </c>
    </row>
    <row r="916" spans="1:15" x14ac:dyDescent="0.35">
      <c r="A916" s="1">
        <v>45859</v>
      </c>
      <c r="B916" t="s">
        <v>236</v>
      </c>
      <c r="C916" t="s">
        <v>137</v>
      </c>
      <c r="D916" t="s">
        <v>36</v>
      </c>
      <c r="E916">
        <v>22.62</v>
      </c>
      <c r="F916" t="s">
        <v>237</v>
      </c>
      <c r="G916">
        <v>22.62</v>
      </c>
      <c r="H916">
        <v>2025</v>
      </c>
      <c r="I916">
        <v>7</v>
      </c>
      <c r="J916" t="s">
        <v>73</v>
      </c>
      <c r="K916" s="1">
        <v>45859</v>
      </c>
      <c r="L916" t="s">
        <v>38</v>
      </c>
      <c r="M916" t="s">
        <v>39</v>
      </c>
      <c r="N916" t="b">
        <v>1</v>
      </c>
      <c r="O916">
        <v>1429</v>
      </c>
    </row>
    <row r="917" spans="1:15" x14ac:dyDescent="0.35">
      <c r="A917" s="1">
        <v>45870</v>
      </c>
      <c r="B917" t="s">
        <v>233</v>
      </c>
      <c r="C917" t="s">
        <v>137</v>
      </c>
      <c r="D917" t="s">
        <v>36</v>
      </c>
      <c r="E917">
        <v>7.11</v>
      </c>
      <c r="F917" t="s">
        <v>138</v>
      </c>
      <c r="G917">
        <v>7.11</v>
      </c>
      <c r="H917">
        <v>2025</v>
      </c>
      <c r="I917">
        <v>8</v>
      </c>
      <c r="J917" t="s">
        <v>71</v>
      </c>
      <c r="K917" s="1">
        <v>45870</v>
      </c>
      <c r="L917" t="s">
        <v>31</v>
      </c>
      <c r="M917" t="s">
        <v>39</v>
      </c>
      <c r="N917" t="b">
        <v>1</v>
      </c>
      <c r="O917">
        <v>1439</v>
      </c>
    </row>
    <row r="918" spans="1:15" x14ac:dyDescent="0.35">
      <c r="A918" s="1">
        <v>45860</v>
      </c>
      <c r="B918" t="s">
        <v>673</v>
      </c>
      <c r="C918" t="s">
        <v>137</v>
      </c>
      <c r="D918" t="s">
        <v>36</v>
      </c>
      <c r="E918">
        <v>10.73</v>
      </c>
      <c r="F918" t="s">
        <v>189</v>
      </c>
      <c r="G918">
        <v>10.73</v>
      </c>
      <c r="H918">
        <v>2025</v>
      </c>
      <c r="I918">
        <v>7</v>
      </c>
      <c r="J918" t="s">
        <v>73</v>
      </c>
      <c r="K918" s="1">
        <v>45860</v>
      </c>
      <c r="L918" t="s">
        <v>50</v>
      </c>
      <c r="M918" t="s">
        <v>39</v>
      </c>
      <c r="N918" t="b">
        <v>1</v>
      </c>
      <c r="O918">
        <v>1444</v>
      </c>
    </row>
    <row r="919" spans="1:15" x14ac:dyDescent="0.35">
      <c r="A919" s="1">
        <v>45858</v>
      </c>
      <c r="B919" t="s">
        <v>660</v>
      </c>
      <c r="C919" t="s">
        <v>137</v>
      </c>
      <c r="D919" t="s">
        <v>36</v>
      </c>
      <c r="E919">
        <v>22.43</v>
      </c>
      <c r="F919" t="s">
        <v>189</v>
      </c>
      <c r="G919">
        <v>22.43</v>
      </c>
      <c r="H919">
        <v>2025</v>
      </c>
      <c r="I919">
        <v>7</v>
      </c>
      <c r="J919" t="s">
        <v>73</v>
      </c>
      <c r="K919" s="1">
        <v>45858</v>
      </c>
      <c r="L919" t="s">
        <v>41</v>
      </c>
      <c r="M919" t="s">
        <v>39</v>
      </c>
      <c r="N919" t="b">
        <v>1</v>
      </c>
      <c r="O919">
        <v>1455</v>
      </c>
    </row>
    <row r="920" spans="1:15" x14ac:dyDescent="0.35">
      <c r="A920" s="1">
        <v>46036</v>
      </c>
      <c r="B920" t="s">
        <v>666</v>
      </c>
      <c r="C920" t="s">
        <v>218</v>
      </c>
      <c r="D920" t="s">
        <v>36</v>
      </c>
      <c r="E920">
        <v>7.99</v>
      </c>
      <c r="F920" t="s">
        <v>665</v>
      </c>
      <c r="G920">
        <v>7.99</v>
      </c>
      <c r="H920">
        <v>2026</v>
      </c>
      <c r="I920">
        <v>1</v>
      </c>
      <c r="J920" t="s">
        <v>24</v>
      </c>
      <c r="K920" s="1">
        <v>46036</v>
      </c>
      <c r="L920" t="s">
        <v>58</v>
      </c>
      <c r="M920" t="s">
        <v>39</v>
      </c>
      <c r="N920" t="b">
        <v>1</v>
      </c>
      <c r="O920">
        <v>1456</v>
      </c>
    </row>
    <row r="921" spans="1:15" x14ac:dyDescent="0.35">
      <c r="A921" s="1">
        <v>46005</v>
      </c>
      <c r="B921" s="2" t="s">
        <v>664</v>
      </c>
      <c r="C921" t="s">
        <v>218</v>
      </c>
      <c r="D921" t="s">
        <v>36</v>
      </c>
      <c r="E921">
        <v>7.99</v>
      </c>
      <c r="F921" t="s">
        <v>665</v>
      </c>
      <c r="G921">
        <v>7.99</v>
      </c>
      <c r="H921">
        <v>2025</v>
      </c>
      <c r="I921">
        <v>12</v>
      </c>
      <c r="J921" t="s">
        <v>66</v>
      </c>
      <c r="K921" s="1">
        <v>46005</v>
      </c>
      <c r="L921" t="s">
        <v>41</v>
      </c>
      <c r="M921" t="s">
        <v>39</v>
      </c>
      <c r="N921" t="b">
        <v>1</v>
      </c>
      <c r="O921">
        <v>1457</v>
      </c>
    </row>
    <row r="922" spans="1:15" x14ac:dyDescent="0.35">
      <c r="A922" s="1">
        <v>45975</v>
      </c>
      <c r="B922" t="s">
        <v>674</v>
      </c>
      <c r="C922" t="s">
        <v>218</v>
      </c>
      <c r="D922" t="s">
        <v>36</v>
      </c>
      <c r="E922">
        <v>7.99</v>
      </c>
      <c r="F922" t="s">
        <v>665</v>
      </c>
      <c r="G922">
        <v>7.99</v>
      </c>
      <c r="H922">
        <v>2025</v>
      </c>
      <c r="I922">
        <v>11</v>
      </c>
      <c r="J922" t="s">
        <v>68</v>
      </c>
      <c r="K922" s="1">
        <v>45975</v>
      </c>
      <c r="L922" t="s">
        <v>31</v>
      </c>
      <c r="M922" t="s">
        <v>39</v>
      </c>
      <c r="N922" t="b">
        <v>1</v>
      </c>
      <c r="O922">
        <v>1458</v>
      </c>
    </row>
    <row r="923" spans="1:15" x14ac:dyDescent="0.35">
      <c r="A923" s="1">
        <v>45944</v>
      </c>
      <c r="B923" s="2" t="s">
        <v>664</v>
      </c>
      <c r="C923" t="s">
        <v>218</v>
      </c>
      <c r="D923" t="s">
        <v>36</v>
      </c>
      <c r="E923">
        <v>7.99</v>
      </c>
      <c r="F923" t="s">
        <v>665</v>
      </c>
      <c r="G923">
        <v>7.99</v>
      </c>
      <c r="H923">
        <v>2025</v>
      </c>
      <c r="I923">
        <v>10</v>
      </c>
      <c r="J923" t="s">
        <v>57</v>
      </c>
      <c r="K923" s="1">
        <v>45944</v>
      </c>
      <c r="L923" t="s">
        <v>50</v>
      </c>
      <c r="M923" t="s">
        <v>39</v>
      </c>
      <c r="N923" t="b">
        <v>1</v>
      </c>
      <c r="O923">
        <v>1459</v>
      </c>
    </row>
    <row r="924" spans="1:15" x14ac:dyDescent="0.35">
      <c r="A924" s="1">
        <v>45914</v>
      </c>
      <c r="B924" s="2" t="s">
        <v>675</v>
      </c>
      <c r="C924" t="s">
        <v>218</v>
      </c>
      <c r="D924" t="s">
        <v>36</v>
      </c>
      <c r="E924">
        <v>7.99</v>
      </c>
      <c r="F924" t="s">
        <v>665</v>
      </c>
      <c r="G924">
        <v>7.99</v>
      </c>
      <c r="H924">
        <v>2025</v>
      </c>
      <c r="I924">
        <v>9</v>
      </c>
      <c r="J924" t="s">
        <v>30</v>
      </c>
      <c r="K924" s="1">
        <v>45914</v>
      </c>
      <c r="L924" t="s">
        <v>41</v>
      </c>
      <c r="M924" t="s">
        <v>39</v>
      </c>
      <c r="N924" t="b">
        <v>1</v>
      </c>
      <c r="O924">
        <v>1460</v>
      </c>
    </row>
    <row r="925" spans="1:15" x14ac:dyDescent="0.35">
      <c r="A925" s="1">
        <v>45883</v>
      </c>
      <c r="B925" t="s">
        <v>666</v>
      </c>
      <c r="C925" t="s">
        <v>218</v>
      </c>
      <c r="D925" t="s">
        <v>36</v>
      </c>
      <c r="E925">
        <v>7.99</v>
      </c>
      <c r="F925" t="s">
        <v>665</v>
      </c>
      <c r="G925">
        <v>7.99</v>
      </c>
      <c r="H925">
        <v>2025</v>
      </c>
      <c r="I925">
        <v>8</v>
      </c>
      <c r="J925" t="s">
        <v>71</v>
      </c>
      <c r="K925" s="1">
        <v>45883</v>
      </c>
      <c r="L925" t="s">
        <v>23</v>
      </c>
      <c r="M925" t="s">
        <v>39</v>
      </c>
      <c r="N925" t="b">
        <v>1</v>
      </c>
      <c r="O925">
        <v>1461</v>
      </c>
    </row>
    <row r="926" spans="1:15" x14ac:dyDescent="0.35">
      <c r="A926" s="1">
        <v>45951</v>
      </c>
      <c r="B926" s="2" t="s">
        <v>676</v>
      </c>
      <c r="C926" t="s">
        <v>218</v>
      </c>
      <c r="D926" t="s">
        <v>36</v>
      </c>
      <c r="E926">
        <v>12.99</v>
      </c>
      <c r="F926" t="s">
        <v>497</v>
      </c>
      <c r="G926">
        <v>12.99</v>
      </c>
      <c r="H926">
        <v>2025</v>
      </c>
      <c r="I926">
        <v>10</v>
      </c>
      <c r="J926" t="s">
        <v>57</v>
      </c>
      <c r="K926" s="1">
        <v>45951</v>
      </c>
      <c r="L926" t="s">
        <v>50</v>
      </c>
      <c r="M926" t="s">
        <v>39</v>
      </c>
      <c r="N926" t="b">
        <v>1</v>
      </c>
      <c r="O926">
        <v>1463</v>
      </c>
    </row>
    <row r="927" spans="1:15" x14ac:dyDescent="0.35">
      <c r="A927" s="1">
        <v>45921</v>
      </c>
      <c r="B927" t="s">
        <v>496</v>
      </c>
      <c r="C927" t="s">
        <v>218</v>
      </c>
      <c r="D927" t="s">
        <v>36</v>
      </c>
      <c r="E927">
        <v>12.99</v>
      </c>
      <c r="F927" t="s">
        <v>497</v>
      </c>
      <c r="G927">
        <v>12.99</v>
      </c>
      <c r="H927">
        <v>2025</v>
      </c>
      <c r="I927">
        <v>9</v>
      </c>
      <c r="J927" t="s">
        <v>30</v>
      </c>
      <c r="K927" s="1">
        <v>45921</v>
      </c>
      <c r="L927" t="s">
        <v>41</v>
      </c>
      <c r="M927" t="s">
        <v>39</v>
      </c>
      <c r="N927" t="b">
        <v>1</v>
      </c>
      <c r="O927">
        <v>1464</v>
      </c>
    </row>
    <row r="928" spans="1:15" x14ac:dyDescent="0.35">
      <c r="A928" s="1">
        <v>45890</v>
      </c>
      <c r="B928" s="2" t="s">
        <v>677</v>
      </c>
      <c r="C928" t="s">
        <v>218</v>
      </c>
      <c r="D928" t="s">
        <v>36</v>
      </c>
      <c r="E928">
        <v>12.99</v>
      </c>
      <c r="F928" t="s">
        <v>497</v>
      </c>
      <c r="G928">
        <v>12.99</v>
      </c>
      <c r="H928">
        <v>2025</v>
      </c>
      <c r="I928">
        <v>8</v>
      </c>
      <c r="J928" t="s">
        <v>71</v>
      </c>
      <c r="K928" s="1">
        <v>45890</v>
      </c>
      <c r="L928" t="s">
        <v>23</v>
      </c>
      <c r="M928" t="s">
        <v>39</v>
      </c>
      <c r="N928" t="b">
        <v>1</v>
      </c>
      <c r="O928">
        <v>1465</v>
      </c>
    </row>
    <row r="929" spans="1:15" x14ac:dyDescent="0.35">
      <c r="A929" s="1">
        <v>45859</v>
      </c>
      <c r="B929" s="2" t="s">
        <v>678</v>
      </c>
      <c r="C929" t="s">
        <v>218</v>
      </c>
      <c r="D929" t="s">
        <v>36</v>
      </c>
      <c r="E929">
        <v>12.99</v>
      </c>
      <c r="F929" t="s">
        <v>497</v>
      </c>
      <c r="G929">
        <v>12.99</v>
      </c>
      <c r="H929">
        <v>2025</v>
      </c>
      <c r="I929">
        <v>7</v>
      </c>
      <c r="J929" t="s">
        <v>73</v>
      </c>
      <c r="K929" s="1">
        <v>45859</v>
      </c>
      <c r="L929" t="s">
        <v>38</v>
      </c>
      <c r="M929" t="s">
        <v>39</v>
      </c>
      <c r="N929" t="b">
        <v>1</v>
      </c>
      <c r="O929">
        <v>1466</v>
      </c>
    </row>
    <row r="930" spans="1:15" x14ac:dyDescent="0.35">
      <c r="A930" s="1">
        <v>45895</v>
      </c>
      <c r="B930" t="s">
        <v>679</v>
      </c>
      <c r="C930" t="s">
        <v>218</v>
      </c>
      <c r="D930" t="s">
        <v>36</v>
      </c>
      <c r="E930">
        <v>96.8</v>
      </c>
      <c r="F930" t="s">
        <v>680</v>
      </c>
      <c r="G930">
        <v>96.8</v>
      </c>
      <c r="H930">
        <v>2025</v>
      </c>
      <c r="I930">
        <v>8</v>
      </c>
      <c r="J930" t="s">
        <v>71</v>
      </c>
      <c r="K930" s="1">
        <v>45895</v>
      </c>
      <c r="L930" t="s">
        <v>50</v>
      </c>
      <c r="M930" t="s">
        <v>39</v>
      </c>
      <c r="N930" t="b">
        <v>1</v>
      </c>
      <c r="O930">
        <v>1433</v>
      </c>
    </row>
    <row r="931" spans="1:15" x14ac:dyDescent="0.35">
      <c r="A931" s="1">
        <v>45984</v>
      </c>
      <c r="B931" s="2" t="s">
        <v>681</v>
      </c>
      <c r="C931" t="s">
        <v>218</v>
      </c>
      <c r="D931" t="s">
        <v>368</v>
      </c>
      <c r="E931">
        <v>-299.76</v>
      </c>
      <c r="F931" t="s">
        <v>223</v>
      </c>
      <c r="G931">
        <v>299.76</v>
      </c>
      <c r="H931">
        <v>2025</v>
      </c>
      <c r="I931">
        <v>11</v>
      </c>
      <c r="J931" t="s">
        <v>68</v>
      </c>
      <c r="K931" s="1">
        <v>45984</v>
      </c>
      <c r="L931" t="s">
        <v>41</v>
      </c>
      <c r="M931" t="s">
        <v>21</v>
      </c>
      <c r="N931" t="b">
        <v>1</v>
      </c>
      <c r="O931">
        <v>1419</v>
      </c>
    </row>
    <row r="932" spans="1:15" x14ac:dyDescent="0.35">
      <c r="A932" s="1">
        <v>45979</v>
      </c>
      <c r="B932" s="2" t="s">
        <v>682</v>
      </c>
      <c r="C932" t="s">
        <v>218</v>
      </c>
      <c r="D932" t="s">
        <v>36</v>
      </c>
      <c r="E932">
        <v>299.76</v>
      </c>
      <c r="F932" t="s">
        <v>223</v>
      </c>
      <c r="G932">
        <v>299.76</v>
      </c>
      <c r="H932">
        <v>2025</v>
      </c>
      <c r="I932">
        <v>11</v>
      </c>
      <c r="J932" t="s">
        <v>68</v>
      </c>
      <c r="K932" s="1">
        <v>45979</v>
      </c>
      <c r="L932" t="s">
        <v>50</v>
      </c>
      <c r="M932" t="s">
        <v>39</v>
      </c>
      <c r="N932" t="b">
        <v>1</v>
      </c>
      <c r="O932">
        <v>1420</v>
      </c>
    </row>
    <row r="933" spans="1:15" x14ac:dyDescent="0.35">
      <c r="A933" s="1">
        <v>45979</v>
      </c>
      <c r="B933" s="2" t="s">
        <v>683</v>
      </c>
      <c r="C933" t="s">
        <v>218</v>
      </c>
      <c r="D933" t="s">
        <v>36</v>
      </c>
      <c r="E933">
        <v>299.76</v>
      </c>
      <c r="F933" t="s">
        <v>223</v>
      </c>
      <c r="G933">
        <v>299.76</v>
      </c>
      <c r="H933">
        <v>2025</v>
      </c>
      <c r="I933">
        <v>11</v>
      </c>
      <c r="J933" t="s">
        <v>68</v>
      </c>
      <c r="K933" s="1">
        <v>45979</v>
      </c>
      <c r="L933" t="s">
        <v>50</v>
      </c>
      <c r="M933" t="s">
        <v>39</v>
      </c>
      <c r="N933" t="b">
        <v>1</v>
      </c>
      <c r="O933">
        <v>1421</v>
      </c>
    </row>
    <row r="934" spans="1:15" x14ac:dyDescent="0.35">
      <c r="A934" s="1">
        <v>45923</v>
      </c>
      <c r="B934" s="2" t="s">
        <v>684</v>
      </c>
      <c r="C934" t="s">
        <v>137</v>
      </c>
      <c r="D934" t="s">
        <v>36</v>
      </c>
      <c r="E934">
        <v>23.06</v>
      </c>
      <c r="F934" t="s">
        <v>237</v>
      </c>
      <c r="G934">
        <v>23.06</v>
      </c>
      <c r="H934">
        <v>2025</v>
      </c>
      <c r="I934">
        <v>9</v>
      </c>
      <c r="J934" t="s">
        <v>30</v>
      </c>
      <c r="K934" s="1">
        <v>45923</v>
      </c>
      <c r="L934" t="s">
        <v>50</v>
      </c>
      <c r="M934" t="s">
        <v>39</v>
      </c>
      <c r="N934" t="b">
        <v>1</v>
      </c>
      <c r="O934">
        <v>1430</v>
      </c>
    </row>
    <row r="935" spans="1:15" x14ac:dyDescent="0.35">
      <c r="A935" s="1">
        <v>45829</v>
      </c>
      <c r="B935" t="s">
        <v>496</v>
      </c>
      <c r="C935" t="s">
        <v>218</v>
      </c>
      <c r="D935" t="s">
        <v>36</v>
      </c>
      <c r="E935">
        <v>12.99</v>
      </c>
      <c r="F935" t="s">
        <v>497</v>
      </c>
      <c r="G935">
        <v>12.99</v>
      </c>
      <c r="H935">
        <v>2025</v>
      </c>
      <c r="I935">
        <v>6</v>
      </c>
      <c r="J935" t="s">
        <v>33</v>
      </c>
      <c r="K935" s="1">
        <v>45829</v>
      </c>
      <c r="L935" t="s">
        <v>20</v>
      </c>
      <c r="M935" t="s">
        <v>39</v>
      </c>
      <c r="N935" t="b">
        <v>1</v>
      </c>
      <c r="O935">
        <v>1489</v>
      </c>
    </row>
    <row r="936" spans="1:15" x14ac:dyDescent="0.35">
      <c r="A936" s="1">
        <v>45798</v>
      </c>
      <c r="B936" s="2" t="s">
        <v>685</v>
      </c>
      <c r="C936" t="s">
        <v>218</v>
      </c>
      <c r="D936" t="s">
        <v>36</v>
      </c>
      <c r="E936">
        <v>12.99</v>
      </c>
      <c r="F936" t="s">
        <v>497</v>
      </c>
      <c r="G936">
        <v>12.99</v>
      </c>
      <c r="H936">
        <v>2025</v>
      </c>
      <c r="I936">
        <v>5</v>
      </c>
      <c r="J936" t="s">
        <v>75</v>
      </c>
      <c r="K936" s="1">
        <v>45798</v>
      </c>
      <c r="L936" t="s">
        <v>58</v>
      </c>
      <c r="M936" t="s">
        <v>39</v>
      </c>
      <c r="N936" t="b">
        <v>1</v>
      </c>
      <c r="O936">
        <v>1490</v>
      </c>
    </row>
    <row r="937" spans="1:15" x14ac:dyDescent="0.35">
      <c r="A937" s="1">
        <v>45802</v>
      </c>
      <c r="B937" s="2" t="s">
        <v>686</v>
      </c>
      <c r="C937" t="s">
        <v>218</v>
      </c>
      <c r="D937" t="s">
        <v>36</v>
      </c>
      <c r="E937">
        <v>14.95</v>
      </c>
      <c r="F937" t="s">
        <v>331</v>
      </c>
      <c r="G937">
        <v>14.95</v>
      </c>
      <c r="H937">
        <v>2025</v>
      </c>
      <c r="I937">
        <v>5</v>
      </c>
      <c r="J937" t="s">
        <v>75</v>
      </c>
      <c r="K937" s="1">
        <v>45802</v>
      </c>
      <c r="L937" t="s">
        <v>41</v>
      </c>
      <c r="M937" t="s">
        <v>39</v>
      </c>
      <c r="N937" t="b">
        <v>1</v>
      </c>
      <c r="O937">
        <v>1493</v>
      </c>
    </row>
    <row r="938" spans="1:15" x14ac:dyDescent="0.35">
      <c r="A938" s="1">
        <v>45783</v>
      </c>
      <c r="B938" s="2" t="s">
        <v>687</v>
      </c>
      <c r="C938" t="s">
        <v>218</v>
      </c>
      <c r="D938" t="s">
        <v>36</v>
      </c>
      <c r="E938">
        <v>7.99</v>
      </c>
      <c r="F938" t="s">
        <v>331</v>
      </c>
      <c r="G938">
        <v>7.99</v>
      </c>
      <c r="H938">
        <v>2025</v>
      </c>
      <c r="I938">
        <v>5</v>
      </c>
      <c r="J938" t="s">
        <v>75</v>
      </c>
      <c r="K938" s="1">
        <v>45783</v>
      </c>
      <c r="L938" t="s">
        <v>50</v>
      </c>
      <c r="M938" t="s">
        <v>39</v>
      </c>
      <c r="N938" t="b">
        <v>1</v>
      </c>
      <c r="O938">
        <v>1494</v>
      </c>
    </row>
    <row r="939" spans="1:15" x14ac:dyDescent="0.35">
      <c r="A939" s="1">
        <v>45822</v>
      </c>
      <c r="B939" t="s">
        <v>666</v>
      </c>
      <c r="C939" t="s">
        <v>218</v>
      </c>
      <c r="D939" t="s">
        <v>36</v>
      </c>
      <c r="E939">
        <v>7.99</v>
      </c>
      <c r="F939" t="s">
        <v>665</v>
      </c>
      <c r="G939">
        <v>7.99</v>
      </c>
      <c r="H939">
        <v>2025</v>
      </c>
      <c r="I939">
        <v>6</v>
      </c>
      <c r="J939" t="s">
        <v>33</v>
      </c>
      <c r="K939" s="1">
        <v>45822</v>
      </c>
      <c r="L939" t="s">
        <v>20</v>
      </c>
      <c r="M939" t="s">
        <v>39</v>
      </c>
      <c r="N939" t="b">
        <v>1</v>
      </c>
      <c r="O939">
        <v>1504</v>
      </c>
    </row>
    <row r="940" spans="1:15" x14ac:dyDescent="0.35">
      <c r="A940" s="1">
        <v>45791</v>
      </c>
      <c r="B940" t="s">
        <v>674</v>
      </c>
      <c r="C940" t="s">
        <v>218</v>
      </c>
      <c r="D940" t="s">
        <v>36</v>
      </c>
      <c r="E940">
        <v>7.99</v>
      </c>
      <c r="F940" t="s">
        <v>665</v>
      </c>
      <c r="G940">
        <v>7.99</v>
      </c>
      <c r="H940">
        <v>2025</v>
      </c>
      <c r="I940">
        <v>5</v>
      </c>
      <c r="J940" t="s">
        <v>75</v>
      </c>
      <c r="K940" s="1">
        <v>45791</v>
      </c>
      <c r="L940" t="s">
        <v>58</v>
      </c>
      <c r="M940" t="s">
        <v>39</v>
      </c>
      <c r="N940" t="b">
        <v>1</v>
      </c>
      <c r="O940">
        <v>1505</v>
      </c>
    </row>
    <row r="941" spans="1:15" x14ac:dyDescent="0.35">
      <c r="A941" s="1">
        <v>45971</v>
      </c>
      <c r="B941" t="s">
        <v>198</v>
      </c>
      <c r="C941" t="s">
        <v>16</v>
      </c>
      <c r="D941" t="s">
        <v>36</v>
      </c>
      <c r="E941">
        <v>113.4</v>
      </c>
      <c r="F941" t="s">
        <v>156</v>
      </c>
      <c r="G941">
        <v>113.4</v>
      </c>
      <c r="H941">
        <v>2025</v>
      </c>
      <c r="I941">
        <v>11</v>
      </c>
      <c r="J941" t="s">
        <v>68</v>
      </c>
      <c r="K941" s="1">
        <v>45971</v>
      </c>
      <c r="L941" t="s">
        <v>38</v>
      </c>
      <c r="M941" t="s">
        <v>39</v>
      </c>
      <c r="N941" t="b">
        <v>1</v>
      </c>
      <c r="O941">
        <v>444</v>
      </c>
    </row>
    <row r="942" spans="1:15" x14ac:dyDescent="0.35">
      <c r="A942" s="1">
        <v>45852</v>
      </c>
      <c r="B942" s="2" t="s">
        <v>688</v>
      </c>
      <c r="C942" t="s">
        <v>218</v>
      </c>
      <c r="D942" t="s">
        <v>36</v>
      </c>
      <c r="E942">
        <v>7.99</v>
      </c>
      <c r="F942" t="s">
        <v>665</v>
      </c>
      <c r="G942">
        <v>7.99</v>
      </c>
      <c r="H942">
        <v>2025</v>
      </c>
      <c r="I942">
        <v>7</v>
      </c>
      <c r="J942" t="s">
        <v>73</v>
      </c>
      <c r="K942" s="1">
        <v>45852</v>
      </c>
      <c r="L942" t="s">
        <v>38</v>
      </c>
      <c r="M942" t="s">
        <v>39</v>
      </c>
      <c r="N942" t="b">
        <v>1</v>
      </c>
      <c r="O942">
        <v>1810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7878-467B-4FDB-9AD0-A69E0D9F88FD}">
  <dimension ref="A3:D157"/>
  <sheetViews>
    <sheetView workbookViewId="0">
      <selection activeCell="F21" sqref="F21"/>
    </sheetView>
  </sheetViews>
  <sheetFormatPr defaultRowHeight="14.5" x14ac:dyDescent="0.35"/>
  <cols>
    <col min="1" max="1" width="15" bestFit="1" customWidth="1"/>
    <col min="2" max="2" width="21.81640625" bestFit="1" customWidth="1"/>
    <col min="3" max="3" width="42" bestFit="1" customWidth="1"/>
    <col min="4" max="4" width="14.54296875" bestFit="1" customWidth="1"/>
    <col min="5" max="5" width="14" bestFit="1" customWidth="1"/>
  </cols>
  <sheetData>
    <row r="3" spans="1:4" x14ac:dyDescent="0.35">
      <c r="A3" s="3" t="s">
        <v>691</v>
      </c>
      <c r="B3" s="3" t="s">
        <v>2</v>
      </c>
      <c r="C3" s="3" t="s">
        <v>5</v>
      </c>
      <c r="D3" s="4" t="s">
        <v>698</v>
      </c>
    </row>
    <row r="4" spans="1:4" x14ac:dyDescent="0.35">
      <c r="A4" t="s">
        <v>690</v>
      </c>
      <c r="B4" t="s">
        <v>137</v>
      </c>
      <c r="C4" t="s">
        <v>214</v>
      </c>
      <c r="D4" s="4">
        <v>7</v>
      </c>
    </row>
    <row r="5" spans="1:4" x14ac:dyDescent="0.35">
      <c r="C5" t="s">
        <v>650</v>
      </c>
      <c r="D5" s="4">
        <v>53.72</v>
      </c>
    </row>
    <row r="6" spans="1:4" x14ac:dyDescent="0.35">
      <c r="C6" t="s">
        <v>582</v>
      </c>
      <c r="D6" s="4">
        <v>61.49</v>
      </c>
    </row>
    <row r="7" spans="1:4" x14ac:dyDescent="0.35">
      <c r="C7" t="s">
        <v>630</v>
      </c>
      <c r="D7" s="4">
        <v>30.36</v>
      </c>
    </row>
    <row r="8" spans="1:4" x14ac:dyDescent="0.35">
      <c r="C8" t="s">
        <v>642</v>
      </c>
      <c r="D8" s="4">
        <v>10.7</v>
      </c>
    </row>
    <row r="9" spans="1:4" x14ac:dyDescent="0.35">
      <c r="C9" t="s">
        <v>526</v>
      </c>
      <c r="D9" s="4">
        <v>109.92999999999999</v>
      </c>
    </row>
    <row r="10" spans="1:4" x14ac:dyDescent="0.35">
      <c r="C10" t="s">
        <v>228</v>
      </c>
      <c r="D10" s="4">
        <v>22.13</v>
      </c>
    </row>
    <row r="11" spans="1:4" x14ac:dyDescent="0.35">
      <c r="C11" t="s">
        <v>191</v>
      </c>
      <c r="D11" s="4">
        <v>78.540000000000006</v>
      </c>
    </row>
    <row r="12" spans="1:4" x14ac:dyDescent="0.35">
      <c r="C12" t="s">
        <v>609</v>
      </c>
      <c r="D12" s="4">
        <v>15.87</v>
      </c>
    </row>
    <row r="13" spans="1:4" x14ac:dyDescent="0.35">
      <c r="C13" t="s">
        <v>628</v>
      </c>
      <c r="D13" s="4">
        <v>72.11</v>
      </c>
    </row>
    <row r="14" spans="1:4" x14ac:dyDescent="0.35">
      <c r="C14" t="s">
        <v>606</v>
      </c>
      <c r="D14" s="4">
        <v>15</v>
      </c>
    </row>
    <row r="15" spans="1:4" x14ac:dyDescent="0.35">
      <c r="C15" t="s">
        <v>181</v>
      </c>
      <c r="D15" s="4">
        <v>323.25000000000006</v>
      </c>
    </row>
    <row r="16" spans="1:4" x14ac:dyDescent="0.35">
      <c r="C16" t="s">
        <v>622</v>
      </c>
      <c r="D16" s="4">
        <v>11.13</v>
      </c>
    </row>
    <row r="17" spans="3:4" x14ac:dyDescent="0.35">
      <c r="C17" t="s">
        <v>608</v>
      </c>
      <c r="D17" s="4">
        <v>10.72</v>
      </c>
    </row>
    <row r="18" spans="3:4" x14ac:dyDescent="0.35">
      <c r="C18" t="s">
        <v>235</v>
      </c>
      <c r="D18" s="4">
        <v>329.70000000000005</v>
      </c>
    </row>
    <row r="19" spans="3:4" x14ac:dyDescent="0.35">
      <c r="C19" t="s">
        <v>138</v>
      </c>
      <c r="D19" s="4">
        <v>284.35000000000008</v>
      </c>
    </row>
    <row r="20" spans="3:4" x14ac:dyDescent="0.35">
      <c r="C20" t="s">
        <v>521</v>
      </c>
      <c r="D20" s="4">
        <v>7</v>
      </c>
    </row>
    <row r="21" spans="3:4" x14ac:dyDescent="0.35">
      <c r="C21" t="s">
        <v>565</v>
      </c>
      <c r="D21" s="4">
        <v>17.149999999999999</v>
      </c>
    </row>
    <row r="22" spans="3:4" x14ac:dyDescent="0.35">
      <c r="C22" t="s">
        <v>529</v>
      </c>
      <c r="D22" s="4">
        <v>40.729999999999997</v>
      </c>
    </row>
    <row r="23" spans="3:4" x14ac:dyDescent="0.35">
      <c r="C23" t="s">
        <v>594</v>
      </c>
      <c r="D23" s="4">
        <v>21.009999999999998</v>
      </c>
    </row>
    <row r="24" spans="3:4" x14ac:dyDescent="0.35">
      <c r="C24" t="s">
        <v>647</v>
      </c>
      <c r="D24" s="4">
        <v>20.79</v>
      </c>
    </row>
    <row r="25" spans="3:4" x14ac:dyDescent="0.35">
      <c r="C25" t="s">
        <v>626</v>
      </c>
      <c r="D25" s="4">
        <v>46.3</v>
      </c>
    </row>
    <row r="26" spans="3:4" x14ac:dyDescent="0.35">
      <c r="C26" t="s">
        <v>537</v>
      </c>
      <c r="D26" s="4">
        <v>9.89</v>
      </c>
    </row>
    <row r="27" spans="3:4" x14ac:dyDescent="0.35">
      <c r="C27" t="s">
        <v>237</v>
      </c>
      <c r="D27" s="4">
        <v>601.13</v>
      </c>
    </row>
    <row r="28" spans="3:4" x14ac:dyDescent="0.35">
      <c r="C28" t="s">
        <v>539</v>
      </c>
      <c r="D28" s="4">
        <v>6.51</v>
      </c>
    </row>
    <row r="29" spans="3:4" x14ac:dyDescent="0.35">
      <c r="C29" t="s">
        <v>586</v>
      </c>
      <c r="D29" s="4">
        <v>28</v>
      </c>
    </row>
    <row r="30" spans="3:4" x14ac:dyDescent="0.35">
      <c r="C30" t="s">
        <v>644</v>
      </c>
      <c r="D30" s="4">
        <v>8</v>
      </c>
    </row>
    <row r="31" spans="3:4" x14ac:dyDescent="0.35">
      <c r="C31" t="s">
        <v>670</v>
      </c>
      <c r="D31" s="4">
        <v>9.75</v>
      </c>
    </row>
    <row r="32" spans="3:4" x14ac:dyDescent="0.35">
      <c r="C32" t="s">
        <v>510</v>
      </c>
      <c r="D32" s="4">
        <v>67.28</v>
      </c>
    </row>
    <row r="33" spans="3:4" x14ac:dyDescent="0.35">
      <c r="C33" t="s">
        <v>531</v>
      </c>
      <c r="D33" s="4">
        <v>47.6</v>
      </c>
    </row>
    <row r="34" spans="3:4" x14ac:dyDescent="0.35">
      <c r="C34" t="s">
        <v>189</v>
      </c>
      <c r="D34" s="4">
        <v>604.28000000000009</v>
      </c>
    </row>
    <row r="35" spans="3:4" x14ac:dyDescent="0.35">
      <c r="C35" t="s">
        <v>245</v>
      </c>
      <c r="D35" s="4">
        <v>8.2799999999999994</v>
      </c>
    </row>
    <row r="36" spans="3:4" x14ac:dyDescent="0.35">
      <c r="C36" t="s">
        <v>617</v>
      </c>
      <c r="D36" s="4">
        <v>18</v>
      </c>
    </row>
    <row r="37" spans="3:4" x14ac:dyDescent="0.35">
      <c r="C37" t="s">
        <v>567</v>
      </c>
      <c r="D37" s="4">
        <v>36.81</v>
      </c>
    </row>
    <row r="38" spans="3:4" x14ac:dyDescent="0.35">
      <c r="C38" t="s">
        <v>632</v>
      </c>
      <c r="D38" s="4">
        <v>53.4</v>
      </c>
    </row>
    <row r="39" spans="3:4" x14ac:dyDescent="0.35">
      <c r="C39" t="s">
        <v>503</v>
      </c>
      <c r="D39" s="4">
        <v>120.83000000000001</v>
      </c>
    </row>
    <row r="40" spans="3:4" x14ac:dyDescent="0.35">
      <c r="C40" t="s">
        <v>573</v>
      </c>
      <c r="D40" s="4">
        <v>48.75</v>
      </c>
    </row>
    <row r="41" spans="3:4" x14ac:dyDescent="0.35">
      <c r="C41" t="s">
        <v>293</v>
      </c>
      <c r="D41" s="4">
        <v>311.00999999999993</v>
      </c>
    </row>
    <row r="42" spans="3:4" x14ac:dyDescent="0.35">
      <c r="C42" t="s">
        <v>534</v>
      </c>
      <c r="D42" s="4">
        <v>17.41</v>
      </c>
    </row>
    <row r="43" spans="3:4" x14ac:dyDescent="0.35">
      <c r="C43" t="s">
        <v>253</v>
      </c>
      <c r="D43" s="4">
        <v>42.28</v>
      </c>
    </row>
    <row r="44" spans="3:4" x14ac:dyDescent="0.35">
      <c r="C44" t="s">
        <v>602</v>
      </c>
      <c r="D44" s="4">
        <v>25.24</v>
      </c>
    </row>
    <row r="45" spans="3:4" x14ac:dyDescent="0.35">
      <c r="C45" t="s">
        <v>251</v>
      </c>
      <c r="D45" s="4">
        <v>13</v>
      </c>
    </row>
    <row r="46" spans="3:4" x14ac:dyDescent="0.35">
      <c r="C46" t="s">
        <v>615</v>
      </c>
      <c r="D46" s="4">
        <v>6</v>
      </c>
    </row>
    <row r="47" spans="3:4" x14ac:dyDescent="0.35">
      <c r="C47" t="s">
        <v>451</v>
      </c>
      <c r="D47" s="4">
        <v>64.009999999999991</v>
      </c>
    </row>
    <row r="48" spans="3:4" x14ac:dyDescent="0.35">
      <c r="C48" t="s">
        <v>584</v>
      </c>
      <c r="D48" s="4">
        <v>46.48</v>
      </c>
    </row>
    <row r="49" spans="2:4" x14ac:dyDescent="0.35">
      <c r="C49" t="s">
        <v>427</v>
      </c>
      <c r="D49" s="4">
        <v>419.48</v>
      </c>
    </row>
    <row r="50" spans="2:4" x14ac:dyDescent="0.35">
      <c r="C50" t="s">
        <v>262</v>
      </c>
      <c r="D50" s="4">
        <v>38.14</v>
      </c>
    </row>
    <row r="51" spans="2:4" x14ac:dyDescent="0.35">
      <c r="C51" t="s">
        <v>249</v>
      </c>
      <c r="D51" s="4">
        <v>32.85</v>
      </c>
    </row>
    <row r="52" spans="2:4" x14ac:dyDescent="0.35">
      <c r="C52" t="s">
        <v>260</v>
      </c>
      <c r="D52" s="4">
        <v>65.040000000000006</v>
      </c>
    </row>
    <row r="53" spans="2:4" x14ac:dyDescent="0.35">
      <c r="C53" t="s">
        <v>512</v>
      </c>
      <c r="D53" s="4">
        <v>33.72</v>
      </c>
    </row>
    <row r="54" spans="2:4" x14ac:dyDescent="0.35">
      <c r="C54" t="s">
        <v>619</v>
      </c>
      <c r="D54" s="4">
        <v>38.83</v>
      </c>
    </row>
    <row r="55" spans="2:4" x14ac:dyDescent="0.35">
      <c r="C55" t="s">
        <v>429</v>
      </c>
      <c r="D55" s="4">
        <v>28.85</v>
      </c>
    </row>
    <row r="56" spans="2:4" x14ac:dyDescent="0.35">
      <c r="C56" t="s">
        <v>636</v>
      </c>
      <c r="D56" s="4">
        <v>27.38</v>
      </c>
    </row>
    <row r="57" spans="2:4" x14ac:dyDescent="0.35">
      <c r="C57" t="s">
        <v>221</v>
      </c>
      <c r="D57" s="4">
        <v>167.96</v>
      </c>
    </row>
    <row r="58" spans="2:4" x14ac:dyDescent="0.35">
      <c r="C58" t="s">
        <v>212</v>
      </c>
      <c r="D58" s="4">
        <v>60</v>
      </c>
    </row>
    <row r="59" spans="2:4" x14ac:dyDescent="0.35">
      <c r="C59" t="s">
        <v>569</v>
      </c>
      <c r="D59" s="4">
        <v>7.81</v>
      </c>
    </row>
    <row r="60" spans="2:4" x14ac:dyDescent="0.35">
      <c r="B60" t="s">
        <v>696</v>
      </c>
      <c r="D60" s="4">
        <v>4702.9800000000023</v>
      </c>
    </row>
    <row r="61" spans="2:4" x14ac:dyDescent="0.35">
      <c r="B61" t="s">
        <v>218</v>
      </c>
      <c r="C61" t="s">
        <v>243</v>
      </c>
      <c r="D61" s="4">
        <v>17.5</v>
      </c>
    </row>
    <row r="62" spans="2:4" x14ac:dyDescent="0.35">
      <c r="C62" t="s">
        <v>577</v>
      </c>
      <c r="D62" s="4">
        <v>9.5</v>
      </c>
    </row>
    <row r="63" spans="2:4" x14ac:dyDescent="0.35">
      <c r="C63" t="s">
        <v>592</v>
      </c>
      <c r="D63" s="4">
        <v>11.68</v>
      </c>
    </row>
    <row r="64" spans="2:4" x14ac:dyDescent="0.35">
      <c r="C64" t="s">
        <v>668</v>
      </c>
      <c r="D64" s="4">
        <v>41.96</v>
      </c>
    </row>
    <row r="65" spans="3:4" x14ac:dyDescent="0.35">
      <c r="C65" t="s">
        <v>331</v>
      </c>
      <c r="D65" s="4">
        <v>198.17</v>
      </c>
    </row>
    <row r="66" spans="3:4" x14ac:dyDescent="0.35">
      <c r="C66" t="s">
        <v>620</v>
      </c>
      <c r="D66" s="4">
        <v>84.12</v>
      </c>
    </row>
    <row r="67" spans="3:4" x14ac:dyDescent="0.35">
      <c r="C67" t="s">
        <v>680</v>
      </c>
      <c r="D67" s="4">
        <v>96.8</v>
      </c>
    </row>
    <row r="68" spans="3:4" x14ac:dyDescent="0.35">
      <c r="C68" t="s">
        <v>635</v>
      </c>
      <c r="D68" s="4">
        <v>96.26</v>
      </c>
    </row>
    <row r="69" spans="3:4" x14ac:dyDescent="0.35">
      <c r="C69" t="s">
        <v>646</v>
      </c>
      <c r="D69" s="4">
        <v>97.5</v>
      </c>
    </row>
    <row r="70" spans="3:4" x14ac:dyDescent="0.35">
      <c r="C70" t="s">
        <v>552</v>
      </c>
      <c r="D70" s="4">
        <v>33.299999999999997</v>
      </c>
    </row>
    <row r="71" spans="3:4" x14ac:dyDescent="0.35">
      <c r="C71" t="s">
        <v>575</v>
      </c>
      <c r="D71" s="4">
        <v>66.69</v>
      </c>
    </row>
    <row r="72" spans="3:4" x14ac:dyDescent="0.35">
      <c r="C72" t="s">
        <v>226</v>
      </c>
      <c r="D72" s="4">
        <v>184.51999999999998</v>
      </c>
    </row>
    <row r="73" spans="3:4" x14ac:dyDescent="0.35">
      <c r="C73" t="s">
        <v>443</v>
      </c>
      <c r="D73" s="4">
        <v>1345.52</v>
      </c>
    </row>
    <row r="74" spans="3:4" x14ac:dyDescent="0.35">
      <c r="C74" t="s">
        <v>219</v>
      </c>
      <c r="D74" s="4">
        <v>76.61</v>
      </c>
    </row>
    <row r="75" spans="3:4" x14ac:dyDescent="0.35">
      <c r="C75" t="s">
        <v>672</v>
      </c>
      <c r="D75" s="4">
        <v>67.900000000000006</v>
      </c>
    </row>
    <row r="76" spans="3:4" x14ac:dyDescent="0.35">
      <c r="C76" t="s">
        <v>600</v>
      </c>
      <c r="D76" s="4">
        <v>62.5</v>
      </c>
    </row>
    <row r="77" spans="3:4" x14ac:dyDescent="0.35">
      <c r="C77" t="s">
        <v>598</v>
      </c>
      <c r="D77" s="4">
        <v>9</v>
      </c>
    </row>
    <row r="78" spans="3:4" x14ac:dyDescent="0.35">
      <c r="C78" t="s">
        <v>658</v>
      </c>
      <c r="D78" s="4">
        <v>21.66</v>
      </c>
    </row>
    <row r="79" spans="3:4" x14ac:dyDescent="0.35">
      <c r="C79" t="s">
        <v>553</v>
      </c>
      <c r="D79" s="4">
        <v>437.5</v>
      </c>
    </row>
    <row r="80" spans="3:4" x14ac:dyDescent="0.35">
      <c r="C80" t="s">
        <v>611</v>
      </c>
      <c r="D80" s="4">
        <v>30</v>
      </c>
    </row>
    <row r="81" spans="2:4" x14ac:dyDescent="0.35">
      <c r="C81" t="s">
        <v>665</v>
      </c>
      <c r="D81" s="4">
        <v>87.89</v>
      </c>
    </row>
    <row r="82" spans="2:4" x14ac:dyDescent="0.35">
      <c r="C82" t="s">
        <v>497</v>
      </c>
      <c r="D82" s="4">
        <v>144.88999999999999</v>
      </c>
    </row>
    <row r="83" spans="2:4" x14ac:dyDescent="0.35">
      <c r="C83" t="s">
        <v>613</v>
      </c>
      <c r="D83" s="4">
        <v>105.24</v>
      </c>
    </row>
    <row r="84" spans="2:4" x14ac:dyDescent="0.35">
      <c r="C84" t="s">
        <v>638</v>
      </c>
      <c r="D84" s="4">
        <v>267.37</v>
      </c>
    </row>
    <row r="85" spans="2:4" x14ac:dyDescent="0.35">
      <c r="C85" t="s">
        <v>223</v>
      </c>
      <c r="D85" s="4">
        <v>347.70000000000005</v>
      </c>
    </row>
    <row r="86" spans="2:4" x14ac:dyDescent="0.35">
      <c r="C86" t="s">
        <v>624</v>
      </c>
      <c r="D86" s="4">
        <v>145.84</v>
      </c>
    </row>
    <row r="87" spans="2:4" x14ac:dyDescent="0.35">
      <c r="C87" t="s">
        <v>640</v>
      </c>
      <c r="D87" s="4">
        <v>79.540000000000006</v>
      </c>
    </row>
    <row r="88" spans="2:4" x14ac:dyDescent="0.35">
      <c r="C88" t="s">
        <v>247</v>
      </c>
      <c r="D88" s="4">
        <v>29</v>
      </c>
    </row>
    <row r="89" spans="2:4" x14ac:dyDescent="0.35">
      <c r="B89" t="s">
        <v>697</v>
      </c>
      <c r="D89" s="4">
        <v>4196.16</v>
      </c>
    </row>
    <row r="90" spans="2:4" x14ac:dyDescent="0.35">
      <c r="B90" t="s">
        <v>186</v>
      </c>
      <c r="C90" t="s">
        <v>187</v>
      </c>
      <c r="D90" s="4">
        <v>107.58</v>
      </c>
    </row>
    <row r="91" spans="2:4" x14ac:dyDescent="0.35">
      <c r="B91" t="s">
        <v>692</v>
      </c>
      <c r="D91" s="4">
        <v>107.58</v>
      </c>
    </row>
    <row r="92" spans="2:4" x14ac:dyDescent="0.35">
      <c r="B92" t="s">
        <v>16</v>
      </c>
      <c r="C92" t="s">
        <v>18</v>
      </c>
      <c r="D92" s="4">
        <v>1553.6400000000003</v>
      </c>
    </row>
    <row r="93" spans="2:4" x14ac:dyDescent="0.35">
      <c r="C93" t="s">
        <v>152</v>
      </c>
      <c r="D93" s="4">
        <v>24</v>
      </c>
    </row>
    <row r="94" spans="2:4" x14ac:dyDescent="0.35">
      <c r="C94" t="s">
        <v>329</v>
      </c>
      <c r="D94" s="4">
        <v>12</v>
      </c>
    </row>
    <row r="95" spans="2:4" x14ac:dyDescent="0.35">
      <c r="C95" t="s">
        <v>413</v>
      </c>
      <c r="D95" s="4">
        <v>23.65</v>
      </c>
    </row>
    <row r="96" spans="2:4" x14ac:dyDescent="0.35">
      <c r="C96" t="s">
        <v>254</v>
      </c>
      <c r="D96" s="4">
        <v>55.01</v>
      </c>
    </row>
    <row r="97" spans="3:4" x14ac:dyDescent="0.35">
      <c r="C97" t="s">
        <v>374</v>
      </c>
      <c r="D97" s="4">
        <v>363.78</v>
      </c>
    </row>
    <row r="98" spans="3:4" x14ac:dyDescent="0.35">
      <c r="C98" t="s">
        <v>321</v>
      </c>
      <c r="D98" s="4">
        <v>135.28</v>
      </c>
    </row>
    <row r="99" spans="3:4" x14ac:dyDescent="0.35">
      <c r="C99" t="s">
        <v>154</v>
      </c>
      <c r="D99" s="4">
        <v>19</v>
      </c>
    </row>
    <row r="100" spans="3:4" x14ac:dyDescent="0.35">
      <c r="C100" t="s">
        <v>424</v>
      </c>
      <c r="D100" s="4">
        <v>35.83</v>
      </c>
    </row>
    <row r="101" spans="3:4" x14ac:dyDescent="0.35">
      <c r="C101" t="s">
        <v>280</v>
      </c>
      <c r="D101" s="4">
        <v>79.680000000000007</v>
      </c>
    </row>
    <row r="102" spans="3:4" x14ac:dyDescent="0.35">
      <c r="C102" t="s">
        <v>207</v>
      </c>
      <c r="D102" s="4">
        <v>176.46</v>
      </c>
    </row>
    <row r="103" spans="3:4" x14ac:dyDescent="0.35">
      <c r="C103" t="s">
        <v>84</v>
      </c>
      <c r="D103" s="4">
        <v>336.80999999999995</v>
      </c>
    </row>
    <row r="104" spans="3:4" x14ac:dyDescent="0.35">
      <c r="C104" t="s">
        <v>431</v>
      </c>
      <c r="D104" s="4">
        <v>4.2300000000000004</v>
      </c>
    </row>
    <row r="105" spans="3:4" x14ac:dyDescent="0.35">
      <c r="C105" t="s">
        <v>239</v>
      </c>
      <c r="D105" s="4">
        <v>70.25</v>
      </c>
    </row>
    <row r="106" spans="3:4" x14ac:dyDescent="0.35">
      <c r="C106" t="s">
        <v>264</v>
      </c>
      <c r="D106" s="4">
        <v>-16.46</v>
      </c>
    </row>
    <row r="107" spans="3:4" x14ac:dyDescent="0.35">
      <c r="C107" t="s">
        <v>278</v>
      </c>
      <c r="D107" s="4">
        <v>166.70999999999998</v>
      </c>
    </row>
    <row r="108" spans="3:4" x14ac:dyDescent="0.35">
      <c r="C108" t="s">
        <v>418</v>
      </c>
      <c r="D108" s="4">
        <v>100</v>
      </c>
    </row>
    <row r="109" spans="3:4" x14ac:dyDescent="0.35">
      <c r="C109" t="s">
        <v>421</v>
      </c>
      <c r="D109" s="4">
        <v>119.78</v>
      </c>
    </row>
    <row r="110" spans="3:4" x14ac:dyDescent="0.35">
      <c r="C110" t="s">
        <v>422</v>
      </c>
      <c r="D110" s="4">
        <v>20</v>
      </c>
    </row>
    <row r="111" spans="3:4" x14ac:dyDescent="0.35">
      <c r="C111" t="s">
        <v>415</v>
      </c>
      <c r="D111" s="4">
        <v>35.49</v>
      </c>
    </row>
    <row r="112" spans="3:4" x14ac:dyDescent="0.35">
      <c r="C112" t="s">
        <v>433</v>
      </c>
      <c r="D112" s="4">
        <v>14.58</v>
      </c>
    </row>
    <row r="113" spans="3:4" x14ac:dyDescent="0.35">
      <c r="C113" t="s">
        <v>378</v>
      </c>
      <c r="D113" s="4">
        <v>9.74</v>
      </c>
    </row>
    <row r="114" spans="3:4" x14ac:dyDescent="0.35">
      <c r="C114" t="s">
        <v>256</v>
      </c>
      <c r="D114" s="4">
        <v>20.05</v>
      </c>
    </row>
    <row r="115" spans="3:4" x14ac:dyDescent="0.35">
      <c r="C115" t="s">
        <v>276</v>
      </c>
      <c r="D115" s="4">
        <v>40.99</v>
      </c>
    </row>
    <row r="116" spans="3:4" x14ac:dyDescent="0.35">
      <c r="C116" t="s">
        <v>442</v>
      </c>
      <c r="D116" s="4">
        <v>15</v>
      </c>
    </row>
    <row r="117" spans="3:4" x14ac:dyDescent="0.35">
      <c r="C117" t="s">
        <v>232</v>
      </c>
      <c r="D117" s="4">
        <v>6.2099999999999991</v>
      </c>
    </row>
    <row r="118" spans="3:4" x14ac:dyDescent="0.35">
      <c r="C118" t="s">
        <v>273</v>
      </c>
      <c r="D118" s="4">
        <v>29.95</v>
      </c>
    </row>
    <row r="119" spans="3:4" x14ac:dyDescent="0.35">
      <c r="C119" t="s">
        <v>305</v>
      </c>
      <c r="D119" s="4">
        <v>22.35</v>
      </c>
    </row>
    <row r="120" spans="3:4" x14ac:dyDescent="0.35">
      <c r="C120" t="s">
        <v>301</v>
      </c>
      <c r="D120" s="4">
        <v>368.46000000000004</v>
      </c>
    </row>
    <row r="121" spans="3:4" x14ac:dyDescent="0.35">
      <c r="C121" t="s">
        <v>265</v>
      </c>
      <c r="D121" s="4">
        <v>93.36</v>
      </c>
    </row>
    <row r="122" spans="3:4" x14ac:dyDescent="0.35">
      <c r="C122" t="s">
        <v>435</v>
      </c>
      <c r="D122" s="4">
        <v>35.79</v>
      </c>
    </row>
    <row r="123" spans="3:4" x14ac:dyDescent="0.35">
      <c r="C123" t="s">
        <v>275</v>
      </c>
      <c r="D123" s="4">
        <v>216</v>
      </c>
    </row>
    <row r="124" spans="3:4" x14ac:dyDescent="0.35">
      <c r="C124" t="s">
        <v>258</v>
      </c>
      <c r="D124" s="4">
        <v>65.89</v>
      </c>
    </row>
    <row r="125" spans="3:4" x14ac:dyDescent="0.35">
      <c r="C125" t="s">
        <v>486</v>
      </c>
      <c r="D125" s="4">
        <v>69.989999999999995</v>
      </c>
    </row>
    <row r="126" spans="3:4" x14ac:dyDescent="0.35">
      <c r="C126" t="s">
        <v>271</v>
      </c>
      <c r="D126" s="4">
        <v>142.43</v>
      </c>
    </row>
    <row r="127" spans="3:4" x14ac:dyDescent="0.35">
      <c r="C127" t="s">
        <v>376</v>
      </c>
      <c r="D127" s="4">
        <v>81.69</v>
      </c>
    </row>
    <row r="128" spans="3:4" x14ac:dyDescent="0.35">
      <c r="C128" t="s">
        <v>267</v>
      </c>
      <c r="D128" s="4">
        <v>24</v>
      </c>
    </row>
    <row r="129" spans="2:4" x14ac:dyDescent="0.35">
      <c r="C129" t="s">
        <v>291</v>
      </c>
      <c r="D129" s="4">
        <v>156.09</v>
      </c>
    </row>
    <row r="130" spans="2:4" x14ac:dyDescent="0.35">
      <c r="C130" t="s">
        <v>463</v>
      </c>
      <c r="D130" s="4">
        <v>286.30000000000018</v>
      </c>
    </row>
    <row r="131" spans="2:4" x14ac:dyDescent="0.35">
      <c r="C131" t="s">
        <v>297</v>
      </c>
      <c r="D131" s="4">
        <v>40.710000000000008</v>
      </c>
    </row>
    <row r="132" spans="2:4" x14ac:dyDescent="0.35">
      <c r="C132" t="s">
        <v>484</v>
      </c>
      <c r="D132" s="4">
        <v>39</v>
      </c>
    </row>
    <row r="133" spans="2:4" x14ac:dyDescent="0.35">
      <c r="C133" t="s">
        <v>459</v>
      </c>
      <c r="D133" s="4">
        <v>206.04</v>
      </c>
    </row>
    <row r="134" spans="2:4" x14ac:dyDescent="0.35">
      <c r="C134" t="s">
        <v>156</v>
      </c>
      <c r="D134" s="4">
        <v>3877.18</v>
      </c>
    </row>
    <row r="135" spans="2:4" x14ac:dyDescent="0.35">
      <c r="C135" t="s">
        <v>269</v>
      </c>
      <c r="D135" s="4">
        <v>45.37</v>
      </c>
    </row>
    <row r="136" spans="2:4" x14ac:dyDescent="0.35">
      <c r="B136" t="s">
        <v>693</v>
      </c>
      <c r="D136" s="4">
        <v>9222.3100000000013</v>
      </c>
    </row>
    <row r="137" spans="2:4" x14ac:dyDescent="0.35">
      <c r="B137" t="s">
        <v>35</v>
      </c>
      <c r="C137" t="s">
        <v>394</v>
      </c>
      <c r="D137" s="4">
        <v>192.55</v>
      </c>
    </row>
    <row r="138" spans="2:4" x14ac:dyDescent="0.35">
      <c r="C138" t="s">
        <v>334</v>
      </c>
      <c r="D138" s="4">
        <v>35</v>
      </c>
    </row>
    <row r="139" spans="2:4" x14ac:dyDescent="0.35">
      <c r="C139" t="s">
        <v>140</v>
      </c>
      <c r="D139" s="4">
        <v>-50</v>
      </c>
    </row>
    <row r="140" spans="2:4" x14ac:dyDescent="0.35">
      <c r="C140" t="s">
        <v>337</v>
      </c>
      <c r="D140" s="4">
        <v>282.95</v>
      </c>
    </row>
    <row r="141" spans="2:4" x14ac:dyDescent="0.35">
      <c r="C141" t="s">
        <v>466</v>
      </c>
      <c r="D141" s="4">
        <v>712.33</v>
      </c>
    </row>
    <row r="142" spans="2:4" x14ac:dyDescent="0.35">
      <c r="C142" t="s">
        <v>492</v>
      </c>
      <c r="D142" s="4">
        <v>6.0799999999999841</v>
      </c>
    </row>
    <row r="143" spans="2:4" x14ac:dyDescent="0.35">
      <c r="C143" t="s">
        <v>487</v>
      </c>
      <c r="D143" s="4">
        <v>60</v>
      </c>
    </row>
    <row r="144" spans="2:4" x14ac:dyDescent="0.35">
      <c r="C144" t="s">
        <v>325</v>
      </c>
      <c r="D144" s="4">
        <v>131.97999999999999</v>
      </c>
    </row>
    <row r="145" spans="1:4" x14ac:dyDescent="0.35">
      <c r="C145" t="s">
        <v>489</v>
      </c>
      <c r="D145" s="4">
        <v>240</v>
      </c>
    </row>
    <row r="146" spans="1:4" x14ac:dyDescent="0.35">
      <c r="C146" t="s">
        <v>327</v>
      </c>
      <c r="D146" s="4">
        <v>7.01</v>
      </c>
    </row>
    <row r="147" spans="1:4" x14ac:dyDescent="0.35">
      <c r="C147" t="s">
        <v>399</v>
      </c>
      <c r="D147" s="4">
        <v>45.3</v>
      </c>
    </row>
    <row r="148" spans="1:4" x14ac:dyDescent="0.35">
      <c r="C148" t="s">
        <v>37</v>
      </c>
      <c r="D148" s="4">
        <v>53.57</v>
      </c>
    </row>
    <row r="149" spans="1:4" x14ac:dyDescent="0.35">
      <c r="C149" t="s">
        <v>490</v>
      </c>
      <c r="D149" s="4">
        <v>6.75</v>
      </c>
    </row>
    <row r="150" spans="1:4" x14ac:dyDescent="0.35">
      <c r="C150" t="s">
        <v>387</v>
      </c>
      <c r="D150" s="4">
        <v>1478.6599999999999</v>
      </c>
    </row>
    <row r="151" spans="1:4" x14ac:dyDescent="0.35">
      <c r="C151" t="s">
        <v>478</v>
      </c>
      <c r="D151" s="4">
        <v>168.02</v>
      </c>
    </row>
    <row r="152" spans="1:4" x14ac:dyDescent="0.35">
      <c r="C152" t="s">
        <v>457</v>
      </c>
      <c r="D152" s="4">
        <v>176.96</v>
      </c>
    </row>
    <row r="153" spans="1:4" x14ac:dyDescent="0.35">
      <c r="C153" t="s">
        <v>241</v>
      </c>
      <c r="D153" s="4">
        <v>111.24</v>
      </c>
    </row>
    <row r="154" spans="1:4" x14ac:dyDescent="0.35">
      <c r="C154" t="s">
        <v>477</v>
      </c>
      <c r="D154" s="4">
        <v>35</v>
      </c>
    </row>
    <row r="155" spans="1:4" x14ac:dyDescent="0.35">
      <c r="B155" t="s">
        <v>694</v>
      </c>
      <c r="D155" s="4">
        <v>3693.3999999999992</v>
      </c>
    </row>
    <row r="156" spans="1:4" x14ac:dyDescent="0.35">
      <c r="A156" t="s">
        <v>695</v>
      </c>
      <c r="D156" s="4">
        <v>21922.430000000004</v>
      </c>
    </row>
    <row r="157" spans="1:4" x14ac:dyDescent="0.35">
      <c r="A157" t="s">
        <v>689</v>
      </c>
      <c r="D157" s="4">
        <v>21922.430000000004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4C35D-4FEA-4B36-AA8A-EF0526C8BE16}">
  <dimension ref="A1:J5"/>
  <sheetViews>
    <sheetView workbookViewId="0">
      <selection activeCell="G11" sqref="G11"/>
    </sheetView>
  </sheetViews>
  <sheetFormatPr defaultRowHeight="14.5" x14ac:dyDescent="0.35"/>
  <cols>
    <col min="1" max="1" width="12.81640625" bestFit="1" customWidth="1"/>
    <col min="2" max="2" width="16.54296875" customWidth="1"/>
    <col min="3" max="3" width="24.6328125" customWidth="1"/>
    <col min="4" max="4" width="19.1796875" customWidth="1"/>
    <col min="5" max="5" width="16.54296875" customWidth="1"/>
    <col min="6" max="6" width="15.36328125" customWidth="1"/>
    <col min="7" max="7" width="33.54296875" customWidth="1"/>
    <col min="8" max="8" width="25.453125" customWidth="1"/>
    <col min="9" max="9" width="18.81640625" customWidth="1"/>
    <col min="10" max="10" width="19.1796875" customWidth="1"/>
  </cols>
  <sheetData>
    <row r="1" spans="1:10" x14ac:dyDescent="0.35">
      <c r="A1" t="s">
        <v>699</v>
      </c>
      <c r="B1" t="s">
        <v>700</v>
      </c>
      <c r="C1" t="s">
        <v>701</v>
      </c>
      <c r="D1" t="s">
        <v>703</v>
      </c>
      <c r="E1" t="s">
        <v>702</v>
      </c>
      <c r="F1" t="s">
        <v>704</v>
      </c>
      <c r="G1" t="s">
        <v>705</v>
      </c>
      <c r="H1" t="s">
        <v>707</v>
      </c>
      <c r="I1" t="s">
        <v>706</v>
      </c>
      <c r="J1" t="s">
        <v>708</v>
      </c>
    </row>
    <row r="2" spans="1:10" x14ac:dyDescent="0.35">
      <c r="A2" t="s">
        <v>168</v>
      </c>
      <c r="B2">
        <f>COUNTIF(expenditures_enhance[category], A2)</f>
        <v>58</v>
      </c>
      <c r="C2" s="4">
        <f>SUMIF(expenditures_enhance[category],A2,expenditures_enhance[amount])/B2</f>
        <v>42.217413793103454</v>
      </c>
      <c r="D2" s="4">
        <f t="shared" ref="D2:D5" si="0">E2/11</f>
        <v>222.60090909090911</v>
      </c>
      <c r="E2" s="4">
        <f>SUMIF(expenditures_enhance[category],A2,expenditures_enhance[amount])</f>
        <v>2448.61</v>
      </c>
      <c r="F2" s="5">
        <v>0.4</v>
      </c>
      <c r="G2" s="6">
        <f t="shared" ref="G2:G5" si="1">D2*(1+F2)</f>
        <v>311.64127272727274</v>
      </c>
      <c r="H2" s="6">
        <f t="shared" ref="H2:H5" si="2">E2*(1+F2)</f>
        <v>3428.0540000000001</v>
      </c>
      <c r="I2" s="6">
        <f t="shared" ref="I2:I5" si="3">G2-D2</f>
        <v>89.040363636363622</v>
      </c>
      <c r="J2" s="6">
        <f t="shared" ref="J2:J5" si="4">H2-E2</f>
        <v>979.44399999999996</v>
      </c>
    </row>
    <row r="3" spans="1:10" x14ac:dyDescent="0.35">
      <c r="A3" t="s">
        <v>16</v>
      </c>
      <c r="B3">
        <f>COUNTIF(expenditures_enhance[category], A3)</f>
        <v>288</v>
      </c>
      <c r="C3" s="4">
        <f>SUMIF(expenditures_enhance[category],A3,expenditures_enhance[amount])/B3</f>
        <v>32.021909722222219</v>
      </c>
      <c r="D3" s="4">
        <f t="shared" si="0"/>
        <v>838.39181818181817</v>
      </c>
      <c r="E3" s="4">
        <f>SUMIF(expenditures_enhance[category],A3,expenditures_enhance[amount])</f>
        <v>9222.31</v>
      </c>
      <c r="F3" s="5">
        <v>-0.25</v>
      </c>
      <c r="G3" s="6">
        <f t="shared" si="1"/>
        <v>628.79386363636365</v>
      </c>
      <c r="H3" s="6">
        <f t="shared" si="2"/>
        <v>6916.7325000000001</v>
      </c>
      <c r="I3" s="6">
        <f t="shared" si="3"/>
        <v>-209.59795454545451</v>
      </c>
      <c r="J3" s="6">
        <f t="shared" si="4"/>
        <v>-2305.5774999999994</v>
      </c>
    </row>
    <row r="4" spans="1:10" x14ac:dyDescent="0.35">
      <c r="A4" t="s">
        <v>137</v>
      </c>
      <c r="B4">
        <f>COUNTIF(expenditures_enhance[category], A4)</f>
        <v>278</v>
      </c>
      <c r="C4" s="4">
        <f>SUMIF(expenditures_enhance[category],A4,expenditures_enhance[amount])/B4</f>
        <v>16.917194244604318</v>
      </c>
      <c r="D4" s="4">
        <f t="shared" si="0"/>
        <v>427.54363636363638</v>
      </c>
      <c r="E4" s="4">
        <f>SUMIF(expenditures_enhance[category],A4,expenditures_enhance[amount])</f>
        <v>4702.9800000000005</v>
      </c>
      <c r="F4" s="5">
        <v>-0.2</v>
      </c>
      <c r="G4" s="6">
        <f t="shared" si="1"/>
        <v>342.03490909090914</v>
      </c>
      <c r="H4" s="6">
        <f t="shared" si="2"/>
        <v>3762.3840000000005</v>
      </c>
      <c r="I4" s="6">
        <f t="shared" si="3"/>
        <v>-85.508727272727242</v>
      </c>
      <c r="J4" s="6">
        <f t="shared" si="4"/>
        <v>-940.596</v>
      </c>
    </row>
    <row r="5" spans="1:10" x14ac:dyDescent="0.35">
      <c r="A5" t="s">
        <v>218</v>
      </c>
      <c r="B5">
        <f>COUNTIF(expenditures_enhance[category], A5)</f>
        <v>92</v>
      </c>
      <c r="C5" s="4">
        <f>SUMIF(expenditures_enhance[category],A5,expenditures_enhance[amount])/B5</f>
        <v>45.610434782608657</v>
      </c>
      <c r="D5" s="4">
        <f t="shared" si="0"/>
        <v>381.46909090909054</v>
      </c>
      <c r="E5" s="4">
        <f>SUMIF(expenditures_enhance[category],A5,expenditures_enhance[amount])</f>
        <v>4196.1599999999962</v>
      </c>
      <c r="F5" s="5">
        <v>-0.05</v>
      </c>
      <c r="G5" s="6">
        <f t="shared" si="1"/>
        <v>362.39563636363602</v>
      </c>
      <c r="H5" s="6">
        <f t="shared" si="2"/>
        <v>3986.3519999999962</v>
      </c>
      <c r="I5" s="6">
        <f t="shared" si="3"/>
        <v>-19.073454545454524</v>
      </c>
      <c r="J5" s="6">
        <f t="shared" si="4"/>
        <v>-209.80799999999999</v>
      </c>
    </row>
  </sheetData>
  <scenarios current="0" show="0" sqref="G2:G5">
    <scenario name="Worst Case" locked="1" count="4" user="Mark Meschi" comment="Created by Mark Meschi on 5/20/2026_x000a_Modified by Mark Meschi on 5/20/2026">
      <inputCells r="F2" val="0.6" numFmtId="10"/>
      <inputCells r="F3" val="-0.15" numFmtId="10"/>
      <inputCells r="F4" val="-0.1" numFmtId="10"/>
      <inputCells r="F5" val="-0.02" numFmtId="10"/>
    </scenario>
    <scenario name="Medium Case" locked="1" count="4" user="Mark Meschi" comment="Created by Mark Meschi on 5/20/2026_x000a_Modified by Mark Meschi on 5/20/2026">
      <inputCells r="F2" val="0.5" numFmtId="10"/>
      <inputCells r="F3" val="-0.2" numFmtId="10"/>
      <inputCells r="F4" val="-0.15" numFmtId="10"/>
      <inputCells r="F5" val="-0.03" numFmtId="10"/>
    </scenario>
    <scenario name="Best Case" locked="1" count="4" user="Mark Meschi" comment="Created by Mark Meschi on 5/20/2026">
      <inputCells r="F2" val="0.3" numFmtId="10"/>
      <inputCells r="F3" val="-0.3" numFmtId="10"/>
      <inputCells r="F4" val="-0.25" numFmtId="10"/>
      <inputCells r="F5" val="-0.1" numFmtId="10"/>
    </scenario>
  </scenario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1B26-991C-41C7-AD52-AA1984B3F575}">
  <sheetPr>
    <outlinePr summaryBelow="0"/>
  </sheetPr>
  <dimension ref="B1:G17"/>
  <sheetViews>
    <sheetView showGridLines="0" workbookViewId="0"/>
  </sheetViews>
  <sheetFormatPr defaultRowHeight="14.5" outlineLevelRow="1" outlineLevelCol="1" x14ac:dyDescent="0.35"/>
  <cols>
    <col min="3" max="3" width="31.7265625" bestFit="1" customWidth="1"/>
    <col min="4" max="7" width="12.1796875" bestFit="1" customWidth="1" outlineLevel="1"/>
  </cols>
  <sheetData>
    <row r="1" spans="2:7" ht="15" thickBot="1" x14ac:dyDescent="0.4"/>
    <row r="2" spans="2:7" ht="16" x14ac:dyDescent="0.4">
      <c r="B2" s="10" t="s">
        <v>711</v>
      </c>
      <c r="C2" s="10"/>
      <c r="D2" s="15"/>
      <c r="E2" s="15"/>
      <c r="F2" s="15"/>
      <c r="G2" s="15"/>
    </row>
    <row r="3" spans="2:7" ht="16" collapsed="1" x14ac:dyDescent="0.4">
      <c r="B3" s="9"/>
      <c r="C3" s="9"/>
      <c r="D3" s="16" t="s">
        <v>713</v>
      </c>
      <c r="E3" s="16" t="s">
        <v>718</v>
      </c>
      <c r="F3" s="16" t="s">
        <v>719</v>
      </c>
      <c r="G3" s="16" t="s">
        <v>720</v>
      </c>
    </row>
    <row r="4" spans="2:7" ht="63" hidden="1" outlineLevel="1" x14ac:dyDescent="0.35">
      <c r="B4" s="12"/>
      <c r="C4" s="12"/>
      <c r="D4" s="7"/>
      <c r="E4" s="18" t="s">
        <v>709</v>
      </c>
      <c r="F4" s="18" t="s">
        <v>709</v>
      </c>
      <c r="G4" s="18" t="s">
        <v>710</v>
      </c>
    </row>
    <row r="5" spans="2:7" x14ac:dyDescent="0.35">
      <c r="B5" s="13" t="s">
        <v>712</v>
      </c>
      <c r="C5" s="13"/>
      <c r="D5" s="11"/>
      <c r="E5" s="11"/>
      <c r="F5" s="11"/>
      <c r="G5" s="11"/>
    </row>
    <row r="6" spans="2:7" outlineLevel="1" x14ac:dyDescent="0.35">
      <c r="B6" s="12"/>
      <c r="C6" s="12" t="s">
        <v>721</v>
      </c>
      <c r="D6" s="8">
        <v>0.4</v>
      </c>
      <c r="E6" s="17">
        <v>0.6</v>
      </c>
      <c r="F6" s="17">
        <v>0.5</v>
      </c>
      <c r="G6" s="17">
        <v>0.3</v>
      </c>
    </row>
    <row r="7" spans="2:7" outlineLevel="1" x14ac:dyDescent="0.35">
      <c r="B7" s="12"/>
      <c r="C7" s="12" t="s">
        <v>722</v>
      </c>
      <c r="D7" s="8">
        <v>-0.25</v>
      </c>
      <c r="E7" s="17">
        <v>-0.15</v>
      </c>
      <c r="F7" s="17">
        <v>-0.2</v>
      </c>
      <c r="G7" s="17">
        <v>-0.3</v>
      </c>
    </row>
    <row r="8" spans="2:7" outlineLevel="1" x14ac:dyDescent="0.35">
      <c r="B8" s="12"/>
      <c r="C8" s="12" t="s">
        <v>723</v>
      </c>
      <c r="D8" s="8">
        <v>-0.2</v>
      </c>
      <c r="E8" s="17">
        <v>-0.1</v>
      </c>
      <c r="F8" s="17">
        <v>-0.15</v>
      </c>
      <c r="G8" s="17">
        <v>-0.25</v>
      </c>
    </row>
    <row r="9" spans="2:7" outlineLevel="1" x14ac:dyDescent="0.35">
      <c r="B9" s="12"/>
      <c r="C9" s="12" t="s">
        <v>724</v>
      </c>
      <c r="D9" s="8">
        <v>-0.05</v>
      </c>
      <c r="E9" s="17">
        <v>-0.02</v>
      </c>
      <c r="F9" s="17">
        <v>-0.03</v>
      </c>
      <c r="G9" s="17">
        <v>-0.1</v>
      </c>
    </row>
    <row r="10" spans="2:7" x14ac:dyDescent="0.35">
      <c r="B10" s="13" t="s">
        <v>714</v>
      </c>
      <c r="C10" s="13"/>
      <c r="D10" s="11"/>
      <c r="E10" s="11"/>
      <c r="F10" s="11"/>
      <c r="G10" s="11"/>
    </row>
    <row r="11" spans="2:7" outlineLevel="1" x14ac:dyDescent="0.35">
      <c r="B11" s="12"/>
      <c r="C11" s="12" t="s">
        <v>725</v>
      </c>
      <c r="D11" s="20">
        <v>311.64127272727302</v>
      </c>
      <c r="E11" s="20">
        <v>356.161454545455</v>
      </c>
      <c r="F11" s="20">
        <v>333.90136363636401</v>
      </c>
      <c r="G11" s="20">
        <v>289.38118181818197</v>
      </c>
    </row>
    <row r="12" spans="2:7" outlineLevel="1" x14ac:dyDescent="0.35">
      <c r="B12" s="12"/>
      <c r="C12" s="12" t="s">
        <v>726</v>
      </c>
      <c r="D12" s="20">
        <v>628.79386363636399</v>
      </c>
      <c r="E12" s="20">
        <v>712.63304545454503</v>
      </c>
      <c r="F12" s="20">
        <v>670.71345454545497</v>
      </c>
      <c r="G12" s="20">
        <v>586.87427272727302</v>
      </c>
    </row>
    <row r="13" spans="2:7" outlineLevel="1" x14ac:dyDescent="0.35">
      <c r="B13" s="12"/>
      <c r="C13" s="12" t="s">
        <v>727</v>
      </c>
      <c r="D13" s="20">
        <v>342.03490909090903</v>
      </c>
      <c r="E13" s="20">
        <v>384.78927272727299</v>
      </c>
      <c r="F13" s="20">
        <v>363.41209090909098</v>
      </c>
      <c r="G13" s="20">
        <v>320.65772727272702</v>
      </c>
    </row>
    <row r="14" spans="2:7" ht="15" outlineLevel="1" thickBot="1" x14ac:dyDescent="0.4">
      <c r="B14" s="14"/>
      <c r="C14" s="14" t="s">
        <v>728</v>
      </c>
      <c r="D14" s="19">
        <v>362.39563636363602</v>
      </c>
      <c r="E14" s="19">
        <v>373.83970909090903</v>
      </c>
      <c r="F14" s="19">
        <v>370.02501818181798</v>
      </c>
      <c r="G14" s="19">
        <v>343.32218181818098</v>
      </c>
    </row>
    <row r="15" spans="2:7" x14ac:dyDescent="0.35">
      <c r="B15" t="s">
        <v>715</v>
      </c>
    </row>
    <row r="16" spans="2:7" x14ac:dyDescent="0.35">
      <c r="B16" t="s">
        <v>716</v>
      </c>
    </row>
    <row r="17" spans="2:2" x14ac:dyDescent="0.35">
      <c r="B17"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public_expenditures_enhanced_ex</vt:lpstr>
      <vt:lpstr>Pivot Category - Vendor</vt:lpstr>
      <vt:lpstr>Client Agreed Spending Changes</vt:lpstr>
      <vt:lpstr>Growth Scenarios</vt:lpstr>
      <vt:lpstr>Eating_Out_Growth</vt:lpstr>
      <vt:lpstr>Eating_Out_Per_Month_With_Growth</vt:lpstr>
      <vt:lpstr>Entertainment_Growth</vt:lpstr>
      <vt:lpstr>Entertainment_Per_Month_With_Growth</vt:lpstr>
      <vt:lpstr>Gas_Growth</vt:lpstr>
      <vt:lpstr>Gas_Per_Month_With_Growth</vt:lpstr>
      <vt:lpstr>Growth_Rate</vt:lpstr>
      <vt:lpstr>Shopping_Growth</vt:lpstr>
      <vt:lpstr>Shopping_Per_Month_With_Growth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Meschi</dc:creator>
  <cp:lastModifiedBy>Mark Meschi</cp:lastModifiedBy>
  <dcterms:created xsi:type="dcterms:W3CDTF">2026-05-20T00:22:10Z</dcterms:created>
  <dcterms:modified xsi:type="dcterms:W3CDTF">2026-05-20T19:14:34Z</dcterms:modified>
</cp:coreProperties>
</file>